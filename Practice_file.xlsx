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211" documentId="11_F25DC773A252ABDACC1048BD89DC52D45ADE58EF" xr6:coauthVersionLast="47" xr6:coauthVersionMax="47" xr10:uidLastSave="{60CAE58C-11E2-479F-A8DE-EAE9A8CC2A96}"/>
  <bookViews>
    <workbookView xWindow="-108" yWindow="-108" windowWidth="23256" windowHeight="12456" firstSheet="2" activeTab="4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  <sheet name="Practice SUMIF" sheetId="5" r:id="rId5"/>
    <sheet name="COUNTIF" sheetId="6" r:id="rId6"/>
    <sheet name="VLOOKUP" sheetId="7" r:id="rId7"/>
    <sheet name="HLOOKUP" sheetId="8" r:id="rId8"/>
    <sheet name="INDEXMATCH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5" l="1"/>
  <c r="K12" i="5"/>
  <c r="K9" i="5"/>
  <c r="K7" i="5"/>
  <c r="K11" i="5"/>
  <c r="K10" i="5"/>
  <c r="K8" i="5"/>
  <c r="K6" i="5"/>
  <c r="K5" i="5"/>
  <c r="K4" i="5"/>
  <c r="K3" i="5"/>
  <c r="B11" i="9"/>
  <c r="B10" i="9"/>
  <c r="N9" i="8"/>
  <c r="J2" i="7"/>
  <c r="J3" i="6"/>
  <c r="J4" i="6"/>
  <c r="J5" i="6"/>
  <c r="K2" i="5"/>
  <c r="E9" i="4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<sst xmlns="http://schemas.openxmlformats.org/spreadsheetml/2006/main" count="637" uniqueCount="306">
  <si>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</si>
  <si>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</si>
  <si>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</si>
  <si>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</si>
  <si>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</si>
  <si>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</si>
  <si>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</si>
  <si>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</si>
  <si>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</si>
  <si>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</si>
  <si>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</si>
  <si>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</si>
  <si>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</si>
  <si>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</si>
  <si>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</si>
  <si>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</si>
  <si>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</si>
  <si>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</si>
  <si>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</si>
  <si>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</si>
  <si>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</si>
  <si>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</si>
  <si>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</si>
  <si>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</si>
  <si>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</si>
  <si>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</si>
  <si>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</si>
  <si>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</si>
  <si>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</si>
  <si>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</si>
  <si>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</si>
  <si>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</si>
  <si>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</si>
  <si>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</si>
  <si>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</si>
  <si>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</si>
  <si>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</si>
  <si>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</si>
  <si>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</si>
  <si>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</si>
  <si>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</si>
  <si>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</si>
  <si>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</si>
  <si>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</si>
  <si>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</si>
  <si>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</si>
  <si>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</si>
  <si>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</si>
  <si>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</si>
  <si>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</si>
  <si>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</si>
  <si>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</si>
  <si>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</si>
  <si>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</si>
  <si>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</si>
  <si>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</si>
  <si>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</si>
  <si>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</si>
  <si>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</si>
  <si>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</si>
  <si>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</si>
  <si>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</si>
  <si>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</si>
  <si>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</si>
  <si>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</si>
  <si>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</si>
  <si>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</si>
  <si>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</si>
  <si>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</si>
  <si>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</si>
  <si>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</si>
  <si>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</si>
  <si>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</si>
  <si>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</si>
  <si>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</si>
  <si>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</si>
  <si>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</si>
  <si>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</si>
  <si>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</si>
  <si>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</si>
  <si>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</si>
  <si>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</si>
  <si>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</si>
  <si>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</si>
  <si>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</si>
  <si>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</si>
  <si>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</si>
  <si>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</si>
  <si>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</si>
  <si>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</si>
  <si>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</si>
  <si>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</si>
  <si>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</si>
  <si>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</si>
  <si>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</si>
  <si>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</si>
  <si>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</si>
  <si>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</si>
  <si>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</si>
  <si>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</si>
  <si>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</si>
  <si>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</si>
  <si>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</si>
  <si>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</si>
  <si>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</si>
  <si>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</si>
  <si>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</si>
  <si>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</si>
  <si>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</si>
  <si>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</si>
  <si>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</si>
  <si>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</si>
  <si>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</si>
  <si>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</si>
  <si>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</si>
  <si>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</si>
  <si>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</si>
  <si>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</si>
  <si>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</si>
  <si>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</si>
  <si>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</si>
  <si>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</si>
  <si>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</si>
  <si>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</si>
  <si>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</si>
  <si>
    <t>Date</t>
  </si>
  <si>
    <t>Account Category</t>
  </si>
  <si>
    <t>Amount</t>
  </si>
  <si>
    <t>Payment Method</t>
  </si>
  <si>
    <t>Problem #</t>
  </si>
  <si>
    <t>Description</t>
  </si>
  <si>
    <t>Travel</t>
  </si>
  <si>
    <t>Credit Card</t>
  </si>
  <si>
    <t>1</t>
  </si>
  <si>
    <t>Total Travel expenses across all departments</t>
  </si>
  <si>
    <t>Software</t>
  </si>
  <si>
    <t>Bank Transfer</t>
  </si>
  <si>
    <t>2</t>
  </si>
  <si>
    <t>Total expenses for the Sales department</t>
  </si>
  <si>
    <t>Salaries</t>
  </si>
  <si>
    <t>3</t>
  </si>
  <si>
    <t>Total Utilities expenses in the East region</t>
  </si>
  <si>
    <t>4</t>
  </si>
  <si>
    <t>Total expenses paid via Credit Card</t>
  </si>
  <si>
    <t>Operations</t>
  </si>
  <si>
    <t>Utilities</t>
  </si>
  <si>
    <t>Cash</t>
  </si>
  <si>
    <t>5</t>
  </si>
  <si>
    <t>Total Salaries for the HR department</t>
  </si>
  <si>
    <t>6</t>
  </si>
  <si>
    <t>Total Software expenses in January 2025</t>
  </si>
  <si>
    <t>7</t>
  </si>
  <si>
    <t>Total Travel expenses in West region using Credit Card</t>
  </si>
  <si>
    <t>8</t>
  </si>
  <si>
    <t>Total expenses for IT department in February 2025</t>
  </si>
  <si>
    <t>9</t>
  </si>
  <si>
    <t>Total Office Supplies in North region</t>
  </si>
  <si>
    <t>10</t>
  </si>
  <si>
    <t>Total Utilities expenses paid via Bank Transfer</t>
  </si>
  <si>
    <t>11</t>
  </si>
  <si>
    <t>Total expenses between 01-Jan-2025 and 31-Jan-2025 for the East region</t>
  </si>
  <si>
    <t>12</t>
  </si>
  <si>
    <t>Total Salaries in the East region in February 2025</t>
  </si>
  <si>
    <t>13</t>
  </si>
  <si>
    <t>Total Travel expenses for Sales department in January 2025</t>
  </si>
  <si>
    <t>14</t>
  </si>
  <si>
    <t>Total Software expenses in South region for all months</t>
  </si>
  <si>
    <t>15</t>
  </si>
  <si>
    <t>Total Office Supplies in January 2025 paid by Credit Card</t>
  </si>
  <si>
    <t>16</t>
  </si>
  <si>
    <t>Total Utilities in East region for Feb 2025 only</t>
  </si>
  <si>
    <t>17</t>
  </si>
  <si>
    <t>Total expenses for Marketing department excluding Travel</t>
  </si>
  <si>
    <t>18</t>
  </si>
  <si>
    <t>Total Salaries for any department in North region</t>
  </si>
  <si>
    <t>19</t>
  </si>
  <si>
    <t>Total expenses in Feb 2025 for all Bank Transfer payments</t>
  </si>
  <si>
    <t>20</t>
  </si>
  <si>
    <t>Total expenses in Feb 2025 for Sales and IT combined</t>
  </si>
  <si>
    <t>https://pivotxl.com/sumifs-practice-problems/</t>
  </si>
  <si>
    <t>Count how many customers are from South region AND Due in March 2025</t>
  </si>
  <si>
    <t>Count Paid accounts with Amount ≥ 450 and ≤ 700</t>
  </si>
  <si>
    <t>Count accounts due before February 2025</t>
  </si>
  <si>
    <t>Count customers whose name has exactly 4 letters</t>
  </si>
  <si>
    <t>Count customers whose name starts with 'S'</t>
  </si>
  <si>
    <t>Count Paid accounts from North or South</t>
  </si>
  <si>
    <t>Count Overdue accounts not from the South</t>
  </si>
  <si>
    <t>Count customers with Amount between 400 and 600</t>
  </si>
  <si>
    <t>Count Paid accounts with Due Date in March 2025</t>
  </si>
  <si>
    <t>Count accounts with Due Date in February 2025</t>
  </si>
  <si>
    <t>Count accounts from East region with Amount &gt; 400</t>
  </si>
  <si>
    <t>Count Paid accounts with Amount &lt; 500</t>
  </si>
  <si>
    <t>18-Mar-25</t>
  </si>
  <si>
    <t>Overdue</t>
  </si>
  <si>
    <t>Paul</t>
  </si>
  <si>
    <t>Count Overdue accounts with Amount &gt; 500</t>
  </si>
  <si>
    <t>12-Mar-25</t>
  </si>
  <si>
    <t>Paid</t>
  </si>
  <si>
    <t>Leo</t>
  </si>
  <si>
    <t>Count Paid accounts in the South region</t>
  </si>
  <si>
    <t>10-Jan-25</t>
  </si>
  <si>
    <t>Sara</t>
  </si>
  <si>
    <t>Count Overdue accounts in the North region</t>
  </si>
  <si>
    <t>05-Feb-25</t>
  </si>
  <si>
    <t>Count customers with Amount less than 400</t>
  </si>
  <si>
    <t>25-Mar-25</t>
  </si>
  <si>
    <t>Nina</t>
  </si>
  <si>
    <t>Count customers with Amount greater than 500</t>
  </si>
  <si>
    <t>20-Feb-25</t>
  </si>
  <si>
    <t>Alex</t>
  </si>
  <si>
    <t>Count how many customers are from the North region</t>
  </si>
  <si>
    <t>15-Mar-25</t>
  </si>
  <si>
    <t>Rita</t>
  </si>
  <si>
    <t>Count how many accounts are Paid</t>
  </si>
  <si>
    <t>10-Feb-25</t>
  </si>
  <si>
    <t>Sam</t>
  </si>
  <si>
    <t>Count how many accounts are Overdue</t>
  </si>
  <si>
    <t>05-Jan-25</t>
  </si>
  <si>
    <t>Formula</t>
  </si>
  <si>
    <t>Problem</t>
  </si>
  <si>
    <t>01-Jan-25</t>
  </si>
  <si>
    <t>Practice Problems &amp; Solutions</t>
  </si>
  <si>
    <t>Due Date</t>
  </si>
  <si>
    <t>Customer</t>
  </si>
  <si>
    <t>https://pivotxl.com/countif-countifs-excel-practice-problems/</t>
  </si>
  <si>
    <t>EmpID</t>
  </si>
  <si>
    <t>Name</t>
  </si>
  <si>
    <t>Location</t>
  </si>
  <si>
    <t>Salary</t>
  </si>
  <si>
    <t>Bonus %</t>
  </si>
  <si>
    <t>Solution</t>
  </si>
  <si>
    <t>Alice Wong</t>
  </si>
  <si>
    <t>Finance</t>
  </si>
  <si>
    <t>New York</t>
  </si>
  <si>
    <t>1. Find the Name of the employee with EmpID = 104.</t>
  </si>
  <si>
    <t>Bob Smith</t>
  </si>
  <si>
    <t>Chicago</t>
  </si>
  <si>
    <t>2. Find the Department of employee 106.</t>
  </si>
  <si>
    <t>Carol Jones</t>
  </si>
  <si>
    <t>San Diego</t>
  </si>
  <si>
    <t>3. Find the Salary of employee 102.</t>
  </si>
  <si>
    <t>David Chen</t>
  </si>
  <si>
    <t>4. Retrieve the Bonus % for EmpID = 109.</t>
  </si>
  <si>
    <t>Emily Davis</t>
  </si>
  <si>
    <t>5. Find the Location of employee 101.</t>
  </si>
  <si>
    <t>Frank Lee</t>
  </si>
  <si>
    <t>Boston</t>
  </si>
  <si>
    <t>6. Using EmpID, get the Salary of 110.</t>
  </si>
  <si>
    <t>Grace Hall</t>
  </si>
  <si>
    <t>7. Retrieve the Department of 103.</t>
  </si>
  <si>
    <t>Henry Adams</t>
  </si>
  <si>
    <t>8. Find the Name of the employee who earns 62,000.</t>
  </si>
  <si>
    <t>Irene Scott</t>
  </si>
  <si>
    <t>9. Find the Salary of 105 and add the Bonus % to compute total compensation.</t>
  </si>
  <si>
    <t>Jack White</t>
  </si>
  <si>
    <t>10. Lookup the Location of 107.</t>
  </si>
  <si>
    <t>11. Find the Bonus % of 102 and calculate the Bonus Amount.</t>
  </si>
  <si>
    <t>12. Return the Department for employee 108.</t>
  </si>
  <si>
    <t>13. Get the Name of employee 109.</t>
  </si>
  <si>
    <t>14. Find the Salary of the employee in Boston (Finance).</t>
  </si>
  <si>
    <t>15. Retrieve the Department of 101.</t>
  </si>
  <si>
    <t>16. Find the Bonus % of the highest-salary employee (EmpID 110).</t>
  </si>
  <si>
    <t>17. Lookup the Salary for 103 and apply a 5% increment.</t>
  </si>
  <si>
    <t>18. Find the Location of 105.</t>
  </si>
  <si>
    <t>19. Return the Name of employee 106.</t>
  </si>
  <si>
    <t>20. For EmpID 107, calculate Salary + (Salary * Bonus %).</t>
  </si>
  <si>
    <t>https://pivotxl.com/vlookup-practice-exercises/</t>
  </si>
  <si>
    <t>HLOOKUP Practice Data</t>
  </si>
  <si>
    <t>Record1</t>
  </si>
  <si>
    <t>Record2</t>
  </si>
  <si>
    <t>Record3</t>
  </si>
  <si>
    <t>Record4</t>
  </si>
  <si>
    <t>Record5</t>
  </si>
  <si>
    <t>Record6</t>
  </si>
  <si>
    <t>Record7</t>
  </si>
  <si>
    <t>Record8</t>
  </si>
  <si>
    <t>Record9</t>
  </si>
  <si>
    <t>Record10</t>
  </si>
  <si>
    <t>1. Use HLOOKUP to find the Name of EmpID 104.</t>
  </si>
  <si>
    <t>2. Retrieve the Department of EmpID 106.</t>
  </si>
  <si>
    <t>3. Find the Salary of EmpID 102.</t>
  </si>
  <si>
    <t>4. Get the Bonus % for EmpID 109.</t>
  </si>
  <si>
    <t>5. Find the Location of EmpID 101.</t>
  </si>
  <si>
    <t>6. Use HLOOKUP to return the Salary of EmpID 110.</t>
  </si>
  <si>
    <t>7. Retrieve the Department of EmpID 103.</t>
  </si>
  <si>
    <t>8. Find the Name of the employee with Salary 62,000 (needs MATCH).</t>
  </si>
  <si>
    <t>Requires INDEX/MATCH combo → Emily Davis</t>
  </si>
  <si>
    <t>9. Compute total compensation for EmpID 105 (Salary + Bonus).</t>
  </si>
  <si>
    <t>10. Get the Location of EmpID 107.</t>
  </si>
  <si>
    <t>https://pivotxl.com/hlookup-practice-exercises-xls-download/</t>
  </si>
  <si>
    <t>Phone</t>
  </si>
  <si>
    <t>Chair</t>
  </si>
  <si>
    <t>Furniture</t>
  </si>
  <si>
    <t>Desk</t>
  </si>
  <si>
    <t>INDEX MATCH Practice Problems &amp; Solutions</t>
  </si>
  <si>
    <t>Find the sales of 'Phone'</t>
  </si>
  <si>
    <t>Get the Region for Product ID 104</t>
  </si>
  <si>
    <t>Find the Category of 'Monitor'</t>
  </si>
  <si>
    <t>Lookup Sales for Product ID 101</t>
  </si>
  <si>
    <t>Find the Product Name sold in the East region</t>
  </si>
  <si>
    <t>Return the Region for Product Name = Chair</t>
  </si>
  <si>
    <t>Find Sales where Product ID = 105</t>
  </si>
  <si>
    <t>Get Category for Product ID 102</t>
  </si>
  <si>
    <t>Find Product Name for Sales = 2500</t>
  </si>
  <si>
    <t>Lookup Region for Product Name = Laptop</t>
  </si>
  <si>
    <t>https://pivotxl.com/index-match-practice-exercises-xls-download/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</si>
</sst>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21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top"/>
    </xf>
    <xf numFmtId="0" fontId="12" fillId="0" borderId="0" xfId="0" applyFont="1"/>
    <xf numFmtId="164" fontId="12" fillId="0" borderId="1" xfId="0" applyNumberFormat="1" applyFont="1" applyBorder="1" applyAlignment="1">
      <alignment horizontal="center" vertical="top"/>
    </xf>
    <xf numFmtId="0" fontId="12" fillId="0" borderId="28" xfId="0" applyFont="1" applyBorder="1" applyAlignment="1">
      <alignment horizontal="center" vertical="top"/>
    </xf>
    <xf numFmtId="164" fontId="10" fillId="0" borderId="0" xfId="0" applyNumberFormat="1" applyFont="1"/>
    <xf numFmtId="164" fontId="13" fillId="0" borderId="0" xfId="1" applyNumberFormat="1" applyFont="1"/>
    <xf numFmtId="0" fontId="3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13" fillId="0" borderId="0" xfId="1" applyFont="1" applyAlignment="1">
      <alignment wrapText="1"/>
    </xf>
    <xf numFmtId="0" fontId="10" fillId="0" borderId="0" xfId="0" applyFon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sumifs-practice-problems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countif-countifs-excel-practice-problems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vlookup-practice-exercis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hlookup-practice-exercises-xls-download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ivotxl.com/index-match-practice-exercises-xls-downloa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94" t="s">
        <v>0</v>
      </c>
      <c r="B1" s="94"/>
      <c r="C1" s="94"/>
      <c r="D1" s="94"/>
      <c r="E1" s="94"/>
      <c r="F1" s="94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94" t="s">
        <v>18</v>
      </c>
      <c r="B15" s="94"/>
      <c r="C15" s="94"/>
      <c r="D15" s="94"/>
      <c r="E15" s="94"/>
      <c r="F15" s="94"/>
      <c r="G15" s="94"/>
      <c r="H15" s="94"/>
      <c r="I15" s="94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96" t="s">
        <v>18</v>
      </c>
      <c r="B1" s="97"/>
      <c r="C1" s="97"/>
      <c r="D1" s="97"/>
      <c r="E1" s="97"/>
      <c r="F1" s="97"/>
      <c r="G1" s="98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96" t="s">
        <v>18</v>
      </c>
      <c r="B16" s="97"/>
      <c r="C16" s="97"/>
      <c r="D16" s="97"/>
      <c r="E16" s="97"/>
      <c r="F16" s="108"/>
      <c r="G16" s="108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109" t="s">
        <v>70</v>
      </c>
      <c r="I18" s="110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109" t="s">
        <v>71</v>
      </c>
      <c r="I19" s="110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99" t="s">
        <v>60</v>
      </c>
      <c r="B31" s="100"/>
      <c r="C31" s="100"/>
      <c r="D31" s="100"/>
      <c r="E31" s="100"/>
      <c r="F31" s="100"/>
      <c r="G31" s="100"/>
      <c r="H31" s="101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111"/>
      <c r="G32" s="112"/>
      <c r="H32" s="113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102" t="s">
        <v>69</v>
      </c>
      <c r="G33" s="103"/>
      <c r="H33" s="104"/>
      <c r="I33" s="114" t="s">
        <v>72</v>
      </c>
      <c r="J33" s="110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105" t="s">
        <v>73</v>
      </c>
      <c r="G34" s="106"/>
      <c r="H34" s="107"/>
      <c r="I34" s="117" t="s">
        <v>74</v>
      </c>
      <c r="J34" s="117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95"/>
      <c r="G35" s="95"/>
      <c r="H35" s="95"/>
      <c r="I35" s="118"/>
      <c r="J35" s="117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95"/>
      <c r="G36" s="95"/>
      <c r="H36" s="95"/>
      <c r="I36" s="115"/>
      <c r="J36" s="116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95"/>
      <c r="G37" s="95"/>
      <c r="H37" s="95"/>
      <c r="I37" s="115"/>
      <c r="J37" s="116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95"/>
      <c r="G38" s="95"/>
      <c r="H38" s="95"/>
      <c r="I38" s="115"/>
      <c r="J38" s="116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95"/>
      <c r="G39" s="95"/>
      <c r="H39" s="95"/>
      <c r="I39" s="115"/>
      <c r="J39" s="116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95"/>
      <c r="G40" s="95"/>
      <c r="H40" s="95"/>
      <c r="I40" s="115"/>
      <c r="J40" s="116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95"/>
      <c r="G41" s="95"/>
      <c r="H41" s="95"/>
      <c r="I41" s="115"/>
      <c r="J41" s="116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95"/>
      <c r="G42" s="95"/>
      <c r="H42" s="95"/>
      <c r="I42" s="115"/>
      <c r="J42" s="116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95"/>
      <c r="G43" s="95"/>
      <c r="H43" s="95"/>
      <c r="I43" s="115"/>
      <c r="J43" s="116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95"/>
      <c r="G44" s="95"/>
      <c r="H44" s="95"/>
      <c r="I44" s="115"/>
      <c r="J44" s="116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95"/>
      <c r="G45" s="95"/>
      <c r="H45" s="95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95"/>
      <c r="G46" s="95"/>
      <c r="H46" s="95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95"/>
      <c r="G47" s="95"/>
      <c r="H47" s="95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95"/>
      <c r="G48" s="95"/>
      <c r="H48" s="95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95"/>
      <c r="G49" s="95"/>
      <c r="H49" s="95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95"/>
      <c r="G50" s="95"/>
      <c r="H50" s="95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95"/>
      <c r="G51" s="95"/>
      <c r="H51" s="95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119" t="s">
        <v>75</v>
      </c>
      <c r="B1" s="120"/>
      <c r="C1" s="120"/>
      <c r="D1" s="120"/>
      <c r="E1" s="120"/>
      <c r="F1" s="121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122" t="s">
        <v>89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122" t="s">
        <v>88</v>
      </c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123" t="s">
        <v>85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123" t="s">
        <v>86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123" t="s">
        <v>87</v>
      </c>
      <c r="J13" s="122"/>
      <c r="K13" s="122"/>
      <c r="L13" s="122"/>
      <c r="M13" s="122"/>
      <c r="N13" s="122"/>
      <c r="O13" s="122"/>
      <c r="P13" s="122"/>
      <c r="Q13" s="122"/>
      <c r="R13" s="122"/>
      <c r="S13" s="122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workbookViewId="0">
      <selection activeCell="H24" sqref="H24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24" t="s">
        <v>90</v>
      </c>
      <c r="B1" s="125"/>
      <c r="C1" s="125"/>
      <c r="D1" s="125"/>
      <c r="E1" s="125"/>
      <c r="F1" s="125"/>
      <c r="G1" s="126"/>
    </row>
    <row r="2" spans="1:14" ht="14.4" thickBot="1" x14ac:dyDescent="0.35">
      <c r="A2" s="77" t="s">
        <v>91</v>
      </c>
      <c r="B2" s="77" t="s">
        <v>92</v>
      </c>
      <c r="C2" s="77" t="s">
        <v>93</v>
      </c>
      <c r="D2" s="78" t="s">
        <v>76</v>
      </c>
      <c r="E2" s="80"/>
      <c r="F2" s="85" t="s">
        <v>122</v>
      </c>
      <c r="G2" s="81"/>
    </row>
    <row r="3" spans="1:14" ht="14.4" customHeight="1" thickBot="1" x14ac:dyDescent="0.35">
      <c r="A3" s="69" t="s">
        <v>94</v>
      </c>
      <c r="B3" s="69" t="s">
        <v>63</v>
      </c>
      <c r="C3" s="69">
        <v>150</v>
      </c>
      <c r="D3" s="79">
        <v>75000</v>
      </c>
      <c r="E3" s="84">
        <f>_xlfn.XLOOKUP("P102",A3:A12,D3:D12)</f>
        <v>1500</v>
      </c>
      <c r="F3" s="130" t="s">
        <v>109</v>
      </c>
      <c r="G3" s="131"/>
      <c r="H3" s="65" t="s">
        <v>118</v>
      </c>
    </row>
    <row r="4" spans="1:14" ht="14.4" customHeight="1" thickBot="1" x14ac:dyDescent="0.35">
      <c r="A4" s="69" t="s">
        <v>95</v>
      </c>
      <c r="B4" s="69" t="s">
        <v>65</v>
      </c>
      <c r="C4" s="69">
        <v>300</v>
      </c>
      <c r="D4" s="79">
        <v>500</v>
      </c>
      <c r="E4" s="84" t="str">
        <f>_xlfn.XLOOKUP("P999",A3:A12,C3:C12,"Not Found")</f>
        <v>Not Found</v>
      </c>
      <c r="F4" s="130" t="s">
        <v>110</v>
      </c>
      <c r="G4" s="131"/>
      <c r="H4" s="65" t="s">
        <v>117</v>
      </c>
    </row>
    <row r="5" spans="1:14" ht="14.4" thickBot="1" x14ac:dyDescent="0.35">
      <c r="A5" s="69" t="s">
        <v>96</v>
      </c>
      <c r="B5" s="69" t="s">
        <v>67</v>
      </c>
      <c r="C5" s="86">
        <v>200</v>
      </c>
      <c r="D5" s="79">
        <v>1500</v>
      </c>
      <c r="E5" s="84" t="str">
        <f>INDEX(A3:D12,3,2)</f>
        <v>Keyboard</v>
      </c>
      <c r="F5" s="130" t="s">
        <v>112</v>
      </c>
      <c r="G5" s="131"/>
      <c r="H5" s="65" t="s">
        <v>111</v>
      </c>
    </row>
    <row r="6" spans="1:14" ht="14.4" thickBot="1" x14ac:dyDescent="0.35">
      <c r="A6" s="69" t="s">
        <v>97</v>
      </c>
      <c r="B6" s="69" t="s">
        <v>81</v>
      </c>
      <c r="C6" s="69">
        <v>120</v>
      </c>
      <c r="D6" s="79">
        <v>10000</v>
      </c>
      <c r="E6" s="84">
        <f>MATCH("Laptop",B3:B12,0)</f>
        <v>1</v>
      </c>
      <c r="F6" s="130" t="s">
        <v>114</v>
      </c>
      <c r="G6" s="131"/>
      <c r="H6" s="65" t="s">
        <v>116</v>
      </c>
    </row>
    <row r="7" spans="1:14" ht="14.4" customHeight="1" thickBot="1" x14ac:dyDescent="0.35">
      <c r="A7" s="69" t="s">
        <v>98</v>
      </c>
      <c r="B7" s="69" t="s">
        <v>99</v>
      </c>
      <c r="C7" s="69">
        <v>180</v>
      </c>
      <c r="D7" s="79">
        <v>2500</v>
      </c>
      <c r="E7" s="84">
        <f>INDEX(D3:D12,MATCH("Monitor",B3:B12,0))</f>
        <v>10000</v>
      </c>
      <c r="F7" s="130" t="s">
        <v>115</v>
      </c>
      <c r="G7" s="131"/>
      <c r="H7" s="65" t="s">
        <v>119</v>
      </c>
    </row>
    <row r="8" spans="1:14" ht="14.4" thickBot="1" x14ac:dyDescent="0.35">
      <c r="A8" s="69" t="s">
        <v>100</v>
      </c>
      <c r="B8" s="69" t="s">
        <v>101</v>
      </c>
      <c r="C8" s="69">
        <v>90</v>
      </c>
      <c r="D8" s="79">
        <v>4000</v>
      </c>
      <c r="E8" s="84"/>
      <c r="F8" s="130"/>
      <c r="G8" s="131"/>
      <c r="I8" s="122" t="s">
        <v>113</v>
      </c>
      <c r="J8" s="122"/>
      <c r="K8" s="122"/>
      <c r="L8" s="122"/>
      <c r="M8" s="122"/>
      <c r="N8" s="122"/>
    </row>
    <row r="9" spans="1:14" ht="14.4" customHeight="1" thickBot="1" x14ac:dyDescent="0.35">
      <c r="A9" s="69" t="s">
        <v>102</v>
      </c>
      <c r="B9" s="69" t="s">
        <v>103</v>
      </c>
      <c r="C9" s="69">
        <v>210</v>
      </c>
      <c r="D9" s="79">
        <v>1200</v>
      </c>
      <c r="E9" s="84" t="str">
        <f ca="1">OFFSET(A2,5,1)</f>
        <v>Speaker</v>
      </c>
      <c r="F9" s="130" t="s">
        <v>120</v>
      </c>
      <c r="G9" s="131"/>
      <c r="H9" s="65" t="s">
        <v>121</v>
      </c>
    </row>
    <row r="10" spans="1:14" ht="14.4" thickBot="1" x14ac:dyDescent="0.35">
      <c r="A10" s="69" t="s">
        <v>104</v>
      </c>
      <c r="B10" s="69" t="s">
        <v>79</v>
      </c>
      <c r="C10" s="69">
        <v>80</v>
      </c>
      <c r="D10" s="79">
        <v>30000</v>
      </c>
      <c r="E10" s="84"/>
      <c r="F10" s="130"/>
      <c r="G10" s="131"/>
    </row>
    <row r="11" spans="1:14" ht="14.4" thickBot="1" x14ac:dyDescent="0.35">
      <c r="A11" s="69" t="s">
        <v>105</v>
      </c>
      <c r="B11" s="69" t="s">
        <v>106</v>
      </c>
      <c r="C11" s="69">
        <v>160</v>
      </c>
      <c r="D11" s="79">
        <v>3500</v>
      </c>
      <c r="E11" s="87" cm="1">
        <f t="array" aca="1" ref="E11" ca="1">INDIRECT(F2)</f>
        <v>200</v>
      </c>
      <c r="F11" s="130" t="s">
        <v>123</v>
      </c>
      <c r="G11" s="131"/>
      <c r="H11" s="65" t="s">
        <v>124</v>
      </c>
    </row>
    <row r="12" spans="1:14" ht="14.4" thickBot="1" x14ac:dyDescent="0.35">
      <c r="A12" s="69" t="s">
        <v>107</v>
      </c>
      <c r="B12" s="69" t="s">
        <v>108</v>
      </c>
      <c r="C12" s="69">
        <v>400</v>
      </c>
      <c r="D12" s="79">
        <v>800</v>
      </c>
      <c r="E12" s="83"/>
      <c r="F12" s="83"/>
      <c r="G12" s="82"/>
    </row>
    <row r="13" spans="1:14" ht="14.4" thickBot="1" x14ac:dyDescent="0.35">
      <c r="A13" s="72"/>
      <c r="B13" s="59"/>
      <c r="C13" s="59"/>
      <c r="D13" s="59"/>
      <c r="E13" s="59"/>
      <c r="F13" s="59"/>
      <c r="G13" s="59"/>
    </row>
    <row r="14" spans="1:14" ht="14.4" thickBot="1" x14ac:dyDescent="0.35">
      <c r="A14" s="127" t="s">
        <v>18</v>
      </c>
      <c r="B14" s="128"/>
      <c r="C14" s="128"/>
      <c r="D14" s="128"/>
      <c r="E14" s="128"/>
      <c r="F14" s="128"/>
      <c r="G14" s="129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73"/>
      <c r="F15" s="74" t="s">
        <v>21</v>
      </c>
      <c r="G15" s="75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76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76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76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6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70"/>
      <c r="G20" s="71"/>
    </row>
  </sheetData>
  <mergeCells count="11">
    <mergeCell ref="A1:G1"/>
    <mergeCell ref="A14:G14"/>
    <mergeCell ref="F3:G3"/>
    <mergeCell ref="I8:N8"/>
    <mergeCell ref="F11:G11"/>
    <mergeCell ref="F9:G10"/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2ACBA-3598-49C3-B1EA-05E1FB6B8EBD}">
  <dimension ref="A1:K25"/>
  <sheetViews>
    <sheetView tabSelected="1" workbookViewId="0">
      <selection activeCell="K13" sqref="K13"/>
    </sheetView>
  </sheetViews>
  <sheetFormatPr defaultRowHeight="13.8" x14ac:dyDescent="0.3"/>
  <cols>
    <col min="1" max="1" width="10.6640625" style="65" customWidth="1"/>
    <col min="2" max="2" width="10.6640625" style="65" bestFit="1" customWidth="1"/>
    <col min="3" max="3" width="14.88671875" style="65" bestFit="1" customWidth="1"/>
    <col min="4" max="4" width="7.33203125" style="65" bestFit="1" customWidth="1"/>
    <col min="5" max="5" width="14.88671875" style="65" bestFit="1" customWidth="1"/>
    <col min="6" max="6" width="6.44140625" style="65" bestFit="1" customWidth="1"/>
    <col min="7" max="8" width="8.88671875" style="65"/>
    <col min="9" max="9" width="9" style="65" bestFit="1" customWidth="1"/>
    <col min="10" max="10" width="58.77734375" style="65" bestFit="1" customWidth="1"/>
    <col min="11" max="11" width="17.44140625" style="65" customWidth="1"/>
    <col min="12" max="16384" width="8.88671875" style="65"/>
  </cols>
  <sheetData>
    <row r="1" spans="1:11" x14ac:dyDescent="0.3">
      <c r="A1" s="90" t="s">
        <v>125</v>
      </c>
      <c r="B1" s="88" t="s">
        <v>42</v>
      </c>
      <c r="C1" s="88" t="s">
        <v>126</v>
      </c>
      <c r="D1" s="88" t="s">
        <v>127</v>
      </c>
      <c r="E1" s="88" t="s">
        <v>128</v>
      </c>
      <c r="F1" s="88" t="s">
        <v>19</v>
      </c>
      <c r="G1" s="91"/>
      <c r="I1" s="88" t="s">
        <v>129</v>
      </c>
      <c r="J1" s="88" t="s">
        <v>130</v>
      </c>
    </row>
    <row r="2" spans="1:11" x14ac:dyDescent="0.3">
      <c r="A2" s="92">
        <v>45662</v>
      </c>
      <c r="B2" s="65" t="s">
        <v>2</v>
      </c>
      <c r="C2" s="65" t="s">
        <v>131</v>
      </c>
      <c r="D2" s="65">
        <v>850</v>
      </c>
      <c r="E2" s="65" t="s">
        <v>132</v>
      </c>
      <c r="F2" s="65" t="s">
        <v>26</v>
      </c>
      <c r="I2" s="65" t="s">
        <v>133</v>
      </c>
      <c r="J2" s="65" t="s">
        <v>134</v>
      </c>
      <c r="K2" s="65">
        <f>SUMIF(C2:C11,"Travel",D2:D11)</f>
        <v>1800</v>
      </c>
    </row>
    <row r="3" spans="1:11" x14ac:dyDescent="0.3">
      <c r="A3" s="92">
        <v>45665</v>
      </c>
      <c r="B3" s="65" t="s">
        <v>44</v>
      </c>
      <c r="C3" s="65" t="s">
        <v>135</v>
      </c>
      <c r="D3" s="65">
        <v>1200</v>
      </c>
      <c r="E3" s="65" t="s">
        <v>136</v>
      </c>
      <c r="F3" s="65" t="s">
        <v>29</v>
      </c>
      <c r="I3" s="65" t="s">
        <v>137</v>
      </c>
      <c r="J3" s="65" t="s">
        <v>138</v>
      </c>
      <c r="K3" s="65">
        <f>SUMIF(B2:B11,"Sales",D2:D11)</f>
        <v>5650</v>
      </c>
    </row>
    <row r="4" spans="1:11" x14ac:dyDescent="0.3">
      <c r="A4" s="92">
        <v>45672</v>
      </c>
      <c r="B4" s="65" t="s">
        <v>45</v>
      </c>
      <c r="C4" s="65" t="s">
        <v>139</v>
      </c>
      <c r="D4" s="65">
        <v>5000</v>
      </c>
      <c r="E4" s="65" t="s">
        <v>136</v>
      </c>
      <c r="F4" s="65" t="s">
        <v>22</v>
      </c>
      <c r="I4" s="65" t="s">
        <v>140</v>
      </c>
      <c r="J4" s="65" t="s">
        <v>141</v>
      </c>
      <c r="K4" s="65">
        <f>SUMIFS(D2:D11,C2:C11,"Utilities",F2:F11,"East")</f>
        <v>1450</v>
      </c>
    </row>
    <row r="5" spans="1:11" x14ac:dyDescent="0.3">
      <c r="A5" s="92">
        <v>45677</v>
      </c>
      <c r="B5" s="65" t="s">
        <v>46</v>
      </c>
      <c r="C5" s="65" t="s">
        <v>27</v>
      </c>
      <c r="D5" s="65">
        <v>300</v>
      </c>
      <c r="E5" s="65" t="s">
        <v>132</v>
      </c>
      <c r="F5" s="65" t="s">
        <v>24</v>
      </c>
      <c r="I5" s="65" t="s">
        <v>142</v>
      </c>
      <c r="J5" s="65" t="s">
        <v>143</v>
      </c>
      <c r="K5" s="65">
        <f>SUMIF(E2:E11,"Credit Card",D2:D11)</f>
        <v>2500</v>
      </c>
    </row>
    <row r="6" spans="1:11" x14ac:dyDescent="0.3">
      <c r="A6" s="92">
        <v>45685</v>
      </c>
      <c r="B6" s="65" t="s">
        <v>144</v>
      </c>
      <c r="C6" s="65" t="s">
        <v>145</v>
      </c>
      <c r="D6" s="65">
        <v>700</v>
      </c>
      <c r="E6" s="65" t="s">
        <v>146</v>
      </c>
      <c r="F6" s="65" t="s">
        <v>26</v>
      </c>
      <c r="I6" s="65" t="s">
        <v>147</v>
      </c>
      <c r="J6" s="65" t="s">
        <v>148</v>
      </c>
      <c r="K6" s="65">
        <f>SUMIF(B2:B11,"HR",D2:D11)</f>
        <v>5400</v>
      </c>
    </row>
    <row r="7" spans="1:11" x14ac:dyDescent="0.3">
      <c r="A7" s="92">
        <v>45692</v>
      </c>
      <c r="B7" s="65" t="s">
        <v>2</v>
      </c>
      <c r="C7" s="65" t="s">
        <v>139</v>
      </c>
      <c r="D7" s="65">
        <v>4800</v>
      </c>
      <c r="E7" s="65" t="s">
        <v>136</v>
      </c>
      <c r="F7" s="65" t="s">
        <v>26</v>
      </c>
      <c r="I7" s="65" t="s">
        <v>149</v>
      </c>
      <c r="J7" s="65" t="s">
        <v>150</v>
      </c>
      <c r="K7" s="65">
        <f>SUMIFS(D:D,C:C,"Software",A:A,"&gt;=01-Jan-2025",A:A,"&lt;=31-Jan-2025")</f>
        <v>1200</v>
      </c>
    </row>
    <row r="8" spans="1:11" x14ac:dyDescent="0.3">
      <c r="A8" s="92">
        <v>45698</v>
      </c>
      <c r="B8" s="65" t="s">
        <v>44</v>
      </c>
      <c r="C8" s="65" t="s">
        <v>131</v>
      </c>
      <c r="D8" s="65">
        <v>950</v>
      </c>
      <c r="E8" s="65" t="s">
        <v>132</v>
      </c>
      <c r="F8" s="65" t="s">
        <v>29</v>
      </c>
      <c r="I8" s="65" t="s">
        <v>151</v>
      </c>
      <c r="J8" s="65" t="s">
        <v>152</v>
      </c>
      <c r="K8" s="65">
        <f>SUMIFS(D2:D11,C2:C11,"Travel",F2:F11,"West",E2:E11,"Credit Card")</f>
        <v>950</v>
      </c>
    </row>
    <row r="9" spans="1:11" x14ac:dyDescent="0.3">
      <c r="A9" s="92">
        <v>45706</v>
      </c>
      <c r="B9" s="65" t="s">
        <v>45</v>
      </c>
      <c r="C9" s="65" t="s">
        <v>27</v>
      </c>
      <c r="D9" s="65">
        <v>400</v>
      </c>
      <c r="E9" s="65" t="s">
        <v>132</v>
      </c>
      <c r="F9" s="65" t="s">
        <v>22</v>
      </c>
      <c r="I9" s="65" t="s">
        <v>153</v>
      </c>
      <c r="J9" s="65" t="s">
        <v>154</v>
      </c>
      <c r="K9" s="65">
        <f>SUMIFS(D2:D11,B2:B11,"IT",A2:A11,"&gt;=01-Feb-2025",A2:A11,"&lt;=28-Feb-2025")</f>
        <v>2500</v>
      </c>
    </row>
    <row r="10" spans="1:11" x14ac:dyDescent="0.3">
      <c r="A10" s="92">
        <v>45711</v>
      </c>
      <c r="B10" s="65" t="s">
        <v>46</v>
      </c>
      <c r="C10" s="65" t="s">
        <v>135</v>
      </c>
      <c r="D10" s="65">
        <v>2500</v>
      </c>
      <c r="E10" s="65" t="s">
        <v>136</v>
      </c>
      <c r="F10" s="65" t="s">
        <v>24</v>
      </c>
      <c r="I10" s="65" t="s">
        <v>155</v>
      </c>
      <c r="J10" s="65" t="s">
        <v>156</v>
      </c>
      <c r="K10" s="65">
        <f>SUMIFS(D2:D11,C2:C11,"Office Supplies",F2:F11,"North")</f>
        <v>400</v>
      </c>
    </row>
    <row r="11" spans="1:11" x14ac:dyDescent="0.3">
      <c r="A11" s="92">
        <v>45715</v>
      </c>
      <c r="B11" s="65" t="s">
        <v>144</v>
      </c>
      <c r="C11" s="65" t="s">
        <v>145</v>
      </c>
      <c r="D11" s="65">
        <v>750</v>
      </c>
      <c r="E11" s="65" t="s">
        <v>136</v>
      </c>
      <c r="F11" s="65" t="s">
        <v>26</v>
      </c>
      <c r="I11" s="65" t="s">
        <v>157</v>
      </c>
      <c r="J11" s="65" t="s">
        <v>158</v>
      </c>
      <c r="K11" s="65">
        <f>SUMIFS(D2:D11,C2:C11,"Utilities",E2:E11,"Bank Transfer")</f>
        <v>750</v>
      </c>
    </row>
    <row r="12" spans="1:11" x14ac:dyDescent="0.3">
      <c r="A12" s="92"/>
      <c r="I12" s="65" t="s">
        <v>159</v>
      </c>
      <c r="J12" s="65" t="s">
        <v>160</v>
      </c>
      <c r="K12" s="65">
        <f>SUMIFS(D2:D11,F2:F11,"East",A2:A11,"&gt;=1-Jan-2025",A2:A11,"&lt;=31-Jan-2025")</f>
        <v>1550</v>
      </c>
    </row>
    <row r="13" spans="1:11" x14ac:dyDescent="0.3">
      <c r="A13" s="92"/>
      <c r="I13" s="65" t="s">
        <v>161</v>
      </c>
      <c r="J13" s="65" t="s">
        <v>162</v>
      </c>
      <c r="K13" s="65">
        <f>SUMIFS(D2:D11,F2:F11,"East",C2:C11,"Salaries",A2:A11,"&gt;= 1-Feb-2025",A2:A11,"&lt;=29-Feb-2025")</f>
        <v>0</v>
      </c>
    </row>
    <row r="14" spans="1:11" x14ac:dyDescent="0.3">
      <c r="A14" s="92"/>
      <c r="I14" s="65" t="s">
        <v>163</v>
      </c>
      <c r="J14" s="65" t="s">
        <v>164</v>
      </c>
    </row>
    <row r="15" spans="1:11" x14ac:dyDescent="0.3">
      <c r="A15" s="92"/>
      <c r="I15" s="65" t="s">
        <v>165</v>
      </c>
      <c r="J15" s="65" t="s">
        <v>166</v>
      </c>
    </row>
    <row r="16" spans="1:11" x14ac:dyDescent="0.3">
      <c r="A16" s="92"/>
      <c r="I16" s="65" t="s">
        <v>167</v>
      </c>
      <c r="J16" s="65" t="s">
        <v>168</v>
      </c>
    </row>
    <row r="17" spans="1:10" x14ac:dyDescent="0.3">
      <c r="A17" s="92"/>
      <c r="I17" s="65" t="s">
        <v>169</v>
      </c>
      <c r="J17" s="65" t="s">
        <v>170</v>
      </c>
    </row>
    <row r="18" spans="1:10" x14ac:dyDescent="0.3">
      <c r="A18" s="92"/>
      <c r="I18" s="65" t="s">
        <v>171</v>
      </c>
      <c r="J18" s="65" t="s">
        <v>172</v>
      </c>
    </row>
    <row r="19" spans="1:10" x14ac:dyDescent="0.3">
      <c r="A19" s="92"/>
      <c r="I19" s="65" t="s">
        <v>173</v>
      </c>
      <c r="J19" s="65" t="s">
        <v>174</v>
      </c>
    </row>
    <row r="20" spans="1:10" x14ac:dyDescent="0.3">
      <c r="A20" s="92"/>
      <c r="I20" s="65" t="s">
        <v>175</v>
      </c>
      <c r="J20" s="65" t="s">
        <v>176</v>
      </c>
    </row>
    <row r="21" spans="1:10" x14ac:dyDescent="0.3">
      <c r="A21" s="92"/>
      <c r="I21" s="65" t="s">
        <v>177</v>
      </c>
      <c r="J21" s="65" t="s">
        <v>178</v>
      </c>
    </row>
    <row r="22" spans="1:10" x14ac:dyDescent="0.3">
      <c r="A22" s="93" t="s">
        <v>179</v>
      </c>
    </row>
    <row r="23" spans="1:10" x14ac:dyDescent="0.3">
      <c r="A23" s="92"/>
    </row>
    <row r="24" spans="1:10" x14ac:dyDescent="0.3">
      <c r="A24" s="92"/>
    </row>
    <row r="25" spans="1:10" x14ac:dyDescent="0.3">
      <c r="A25" s="92"/>
    </row>
  </sheetData>
  <hyperlinks>
    <hyperlink ref="A22" r:id="rId1" xr:uid="{2357E178-5FEB-448D-8918-3927F291C1A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8253-D8BB-4FA6-816D-27ABA8930A6D}">
  <dimension ref="A1:J24"/>
  <sheetViews>
    <sheetView workbookViewId="0">
      <selection activeCell="E17" sqref="A1:XFD1048576"/>
    </sheetView>
  </sheetViews>
  <sheetFormatPr defaultRowHeight="13.8" x14ac:dyDescent="0.3"/>
  <cols>
    <col min="1" max="1" width="9.109375" style="65" bestFit="1" customWidth="1"/>
    <col min="2" max="2" width="6.77734375" style="65" bestFit="1" customWidth="1"/>
    <col min="3" max="4" width="7.88671875" style="65" bestFit="1" customWidth="1"/>
    <col min="5" max="5" width="9.6640625" style="65" bestFit="1" customWidth="1"/>
    <col min="6" max="8" width="8.88671875" style="65"/>
    <col min="9" max="9" width="63.109375" style="65" bestFit="1" customWidth="1"/>
    <col min="10" max="10" width="7.88671875" style="65" bestFit="1" customWidth="1"/>
    <col min="11" max="16384" width="8.88671875" style="65"/>
  </cols>
  <sheetData>
    <row r="1" spans="1:10" s="89" customFormat="1" x14ac:dyDescent="0.3">
      <c r="A1" s="89" t="s">
        <v>223</v>
      </c>
      <c r="B1" s="89" t="s">
        <v>19</v>
      </c>
      <c r="C1" s="89" t="s">
        <v>62</v>
      </c>
      <c r="D1" s="89" t="s">
        <v>127</v>
      </c>
      <c r="E1" s="89" t="s">
        <v>222</v>
      </c>
      <c r="I1" s="89" t="s">
        <v>221</v>
      </c>
    </row>
    <row r="2" spans="1:10" x14ac:dyDescent="0.3">
      <c r="A2" s="65" t="s">
        <v>5</v>
      </c>
      <c r="B2" s="65" t="s">
        <v>22</v>
      </c>
      <c r="C2" s="65" t="s">
        <v>193</v>
      </c>
      <c r="D2" s="65">
        <v>500</v>
      </c>
      <c r="E2" s="65" t="s">
        <v>220</v>
      </c>
      <c r="I2" s="89" t="s">
        <v>219</v>
      </c>
      <c r="J2" s="89" t="s">
        <v>218</v>
      </c>
    </row>
    <row r="3" spans="1:10" x14ac:dyDescent="0.3">
      <c r="A3" s="65" t="s">
        <v>7</v>
      </c>
      <c r="B3" s="65" t="s">
        <v>24</v>
      </c>
      <c r="C3" s="65" t="s">
        <v>197</v>
      </c>
      <c r="D3" s="65">
        <v>700</v>
      </c>
      <c r="E3" s="65" t="s">
        <v>217</v>
      </c>
      <c r="I3" s="65" t="s">
        <v>216</v>
      </c>
      <c r="J3" s="65">
        <f>COUNTIF(C2:C11,"Overdue")</f>
        <v>5</v>
      </c>
    </row>
    <row r="4" spans="1:10" x14ac:dyDescent="0.3">
      <c r="A4" s="65" t="s">
        <v>215</v>
      </c>
      <c r="B4" s="65" t="s">
        <v>26</v>
      </c>
      <c r="C4" s="65" t="s">
        <v>193</v>
      </c>
      <c r="D4" s="65">
        <v>300</v>
      </c>
      <c r="E4" s="65" t="s">
        <v>214</v>
      </c>
      <c r="I4" s="65" t="s">
        <v>213</v>
      </c>
      <c r="J4" s="65">
        <f>COUNTIF(C2:C11,"Paid")</f>
        <v>5</v>
      </c>
    </row>
    <row r="5" spans="1:10" x14ac:dyDescent="0.3">
      <c r="A5" s="65" t="s">
        <v>212</v>
      </c>
      <c r="B5" s="65" t="s">
        <v>29</v>
      </c>
      <c r="C5" s="65" t="s">
        <v>197</v>
      </c>
      <c r="D5" s="65">
        <v>400</v>
      </c>
      <c r="E5" s="65" t="s">
        <v>211</v>
      </c>
      <c r="I5" s="65" t="s">
        <v>210</v>
      </c>
      <c r="J5" s="65">
        <f>COUNTIF(B2:B11,"North")</f>
        <v>3</v>
      </c>
    </row>
    <row r="6" spans="1:10" x14ac:dyDescent="0.3">
      <c r="A6" s="65" t="s">
        <v>209</v>
      </c>
      <c r="B6" s="65" t="s">
        <v>22</v>
      </c>
      <c r="C6" s="65" t="s">
        <v>193</v>
      </c>
      <c r="D6" s="65">
        <v>600</v>
      </c>
      <c r="E6" s="65" t="s">
        <v>208</v>
      </c>
      <c r="I6" s="65" t="s">
        <v>207</v>
      </c>
    </row>
    <row r="7" spans="1:10" x14ac:dyDescent="0.3">
      <c r="A7" s="65" t="s">
        <v>206</v>
      </c>
      <c r="B7" s="65" t="s">
        <v>24</v>
      </c>
      <c r="C7" s="65" t="s">
        <v>197</v>
      </c>
      <c r="D7" s="65">
        <v>450</v>
      </c>
      <c r="E7" s="65" t="s">
        <v>205</v>
      </c>
      <c r="I7" s="65" t="s">
        <v>204</v>
      </c>
    </row>
    <row r="8" spans="1:10" x14ac:dyDescent="0.3">
      <c r="A8" s="65" t="s">
        <v>14</v>
      </c>
      <c r="B8" s="65" t="s">
        <v>26</v>
      </c>
      <c r="C8" s="65" t="s">
        <v>197</v>
      </c>
      <c r="D8" s="65">
        <v>550</v>
      </c>
      <c r="E8" s="65" t="s">
        <v>203</v>
      </c>
      <c r="I8" s="65" t="s">
        <v>202</v>
      </c>
    </row>
    <row r="9" spans="1:10" x14ac:dyDescent="0.3">
      <c r="A9" s="65" t="s">
        <v>201</v>
      </c>
      <c r="B9" s="65" t="s">
        <v>22</v>
      </c>
      <c r="C9" s="65" t="s">
        <v>193</v>
      </c>
      <c r="D9" s="65">
        <v>200</v>
      </c>
      <c r="E9" s="65" t="s">
        <v>200</v>
      </c>
      <c r="I9" s="65" t="s">
        <v>199</v>
      </c>
    </row>
    <row r="10" spans="1:10" x14ac:dyDescent="0.3">
      <c r="A10" s="65" t="s">
        <v>198</v>
      </c>
      <c r="B10" s="65" t="s">
        <v>24</v>
      </c>
      <c r="C10" s="65" t="s">
        <v>197</v>
      </c>
      <c r="D10" s="65">
        <v>350</v>
      </c>
      <c r="E10" s="65" t="s">
        <v>196</v>
      </c>
      <c r="I10" s="65" t="s">
        <v>195</v>
      </c>
    </row>
    <row r="11" spans="1:10" x14ac:dyDescent="0.3">
      <c r="A11" s="65" t="s">
        <v>194</v>
      </c>
      <c r="B11" s="65" t="s">
        <v>29</v>
      </c>
      <c r="C11" s="65" t="s">
        <v>193</v>
      </c>
      <c r="D11" s="65">
        <v>800</v>
      </c>
      <c r="E11" s="65" t="s">
        <v>192</v>
      </c>
      <c r="I11" s="65" t="s">
        <v>191</v>
      </c>
    </row>
    <row r="12" spans="1:10" x14ac:dyDescent="0.3">
      <c r="I12" s="65" t="s">
        <v>190</v>
      </c>
    </row>
    <row r="13" spans="1:10" x14ac:dyDescent="0.3">
      <c r="I13" s="65" t="s">
        <v>189</v>
      </c>
    </row>
    <row r="14" spans="1:10" x14ac:dyDescent="0.3">
      <c r="I14" s="65" t="s">
        <v>188</v>
      </c>
    </row>
    <row r="15" spans="1:10" x14ac:dyDescent="0.3">
      <c r="I15" s="65" t="s">
        <v>187</v>
      </c>
    </row>
    <row r="16" spans="1:10" x14ac:dyDescent="0.3">
      <c r="I16" s="65" t="s">
        <v>186</v>
      </c>
    </row>
    <row r="17" spans="1:9" x14ac:dyDescent="0.3">
      <c r="I17" s="65" t="s">
        <v>185</v>
      </c>
    </row>
    <row r="18" spans="1:9" x14ac:dyDescent="0.3">
      <c r="I18" s="65" t="s">
        <v>184</v>
      </c>
    </row>
    <row r="19" spans="1:9" x14ac:dyDescent="0.3">
      <c r="I19" s="65" t="s">
        <v>183</v>
      </c>
    </row>
    <row r="20" spans="1:9" x14ac:dyDescent="0.3">
      <c r="I20" s="65" t="s">
        <v>182</v>
      </c>
    </row>
    <row r="21" spans="1:9" x14ac:dyDescent="0.3">
      <c r="I21" s="65" t="s">
        <v>181</v>
      </c>
    </row>
    <row r="22" spans="1:9" x14ac:dyDescent="0.3">
      <c r="I22" s="65" t="s">
        <v>180</v>
      </c>
    </row>
    <row r="24" spans="1:9" x14ac:dyDescent="0.3">
      <c r="A24" s="132" t="s">
        <v>224</v>
      </c>
      <c r="B24" s="133"/>
      <c r="C24" s="133"/>
      <c r="D24" s="133"/>
      <c r="E24" s="133"/>
      <c r="F24" s="133"/>
      <c r="G24" s="133"/>
      <c r="H24" s="133"/>
      <c r="I24" s="133"/>
    </row>
  </sheetData>
  <mergeCells count="1">
    <mergeCell ref="A24:I24"/>
  </mergeCells>
  <hyperlinks>
    <hyperlink ref="A24" r:id="rId1" xr:uid="{90728C1F-923A-461E-9979-2A463338B88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B6492-7E8B-47E0-8222-5EB871C51B32}">
  <dimension ref="A1:J25"/>
  <sheetViews>
    <sheetView workbookViewId="0">
      <selection activeCell="F17" sqref="A1:XFD1048576"/>
    </sheetView>
  </sheetViews>
  <sheetFormatPr defaultColWidth="8.77734375" defaultRowHeight="13.8" x14ac:dyDescent="0.3"/>
  <cols>
    <col min="1" max="1" width="6.109375" style="65" bestFit="1" customWidth="1"/>
    <col min="2" max="2" width="11" style="65" bestFit="1" customWidth="1"/>
    <col min="3" max="3" width="10.6640625" style="65" bestFit="1" customWidth="1"/>
    <col min="4" max="4" width="8.44140625" style="65" bestFit="1" customWidth="1"/>
    <col min="5" max="5" width="6.109375" style="65" bestFit="1" customWidth="1"/>
    <col min="6" max="6" width="7.44140625" style="65" bestFit="1" customWidth="1"/>
    <col min="7" max="8" width="8.77734375" style="65"/>
    <col min="9" max="9" width="61.33203125" style="65" bestFit="1" customWidth="1"/>
    <col min="10" max="10" width="27.33203125" style="65" customWidth="1"/>
    <col min="11" max="16384" width="8.77734375" style="65"/>
  </cols>
  <sheetData>
    <row r="1" spans="1:10" x14ac:dyDescent="0.3">
      <c r="A1" s="88" t="s">
        <v>225</v>
      </c>
      <c r="B1" s="88" t="s">
        <v>226</v>
      </c>
      <c r="C1" s="88" t="s">
        <v>42</v>
      </c>
      <c r="D1" s="88" t="s">
        <v>227</v>
      </c>
      <c r="E1" s="88" t="s">
        <v>228</v>
      </c>
      <c r="F1" s="88" t="s">
        <v>229</v>
      </c>
      <c r="I1" s="88" t="s">
        <v>219</v>
      </c>
      <c r="J1" s="88" t="s">
        <v>230</v>
      </c>
    </row>
    <row r="2" spans="1:10" x14ac:dyDescent="0.3">
      <c r="A2" s="65">
        <v>101</v>
      </c>
      <c r="B2" s="65" t="s">
        <v>231</v>
      </c>
      <c r="C2" s="65" t="s">
        <v>232</v>
      </c>
      <c r="D2" s="65" t="s">
        <v>233</v>
      </c>
      <c r="E2" s="65">
        <v>65000</v>
      </c>
      <c r="F2" s="65">
        <v>0.1</v>
      </c>
      <c r="I2" s="65" t="s">
        <v>234</v>
      </c>
      <c r="J2" s="65" t="str">
        <f>VLOOKUP(104,A1:F11,2)</f>
        <v>David Chen</v>
      </c>
    </row>
    <row r="3" spans="1:10" x14ac:dyDescent="0.3">
      <c r="A3" s="65">
        <v>102</v>
      </c>
      <c r="B3" s="65" t="s">
        <v>235</v>
      </c>
      <c r="C3" s="65" t="s">
        <v>44</v>
      </c>
      <c r="D3" s="65" t="s">
        <v>236</v>
      </c>
      <c r="E3" s="65">
        <v>72000</v>
      </c>
      <c r="F3" s="65">
        <v>0.12</v>
      </c>
      <c r="I3" s="65" t="s">
        <v>237</v>
      </c>
    </row>
    <row r="4" spans="1:10" x14ac:dyDescent="0.3">
      <c r="A4" s="65">
        <v>103</v>
      </c>
      <c r="B4" s="65" t="s">
        <v>238</v>
      </c>
      <c r="C4" s="65" t="s">
        <v>46</v>
      </c>
      <c r="D4" s="65" t="s">
        <v>239</v>
      </c>
      <c r="E4" s="65">
        <v>80000</v>
      </c>
      <c r="F4" s="65">
        <v>0.08</v>
      </c>
      <c r="I4" s="65" t="s">
        <v>240</v>
      </c>
    </row>
    <row r="5" spans="1:10" x14ac:dyDescent="0.3">
      <c r="A5" s="65">
        <v>104</v>
      </c>
      <c r="B5" s="65" t="s">
        <v>241</v>
      </c>
      <c r="C5" s="65" t="s">
        <v>45</v>
      </c>
      <c r="D5" s="65" t="s">
        <v>233</v>
      </c>
      <c r="E5" s="65">
        <v>58000</v>
      </c>
      <c r="F5" s="65">
        <v>0.09</v>
      </c>
      <c r="I5" s="65" t="s">
        <v>242</v>
      </c>
    </row>
    <row r="6" spans="1:10" x14ac:dyDescent="0.3">
      <c r="A6" s="65">
        <v>105</v>
      </c>
      <c r="B6" s="65" t="s">
        <v>243</v>
      </c>
      <c r="C6" s="65" t="s">
        <v>232</v>
      </c>
      <c r="D6" s="65" t="s">
        <v>236</v>
      </c>
      <c r="E6" s="65">
        <v>62000</v>
      </c>
      <c r="F6" s="65">
        <v>0.11</v>
      </c>
      <c r="I6" s="65" t="s">
        <v>244</v>
      </c>
    </row>
    <row r="7" spans="1:10" x14ac:dyDescent="0.3">
      <c r="A7" s="65">
        <v>106</v>
      </c>
      <c r="B7" s="65" t="s">
        <v>245</v>
      </c>
      <c r="C7" s="65" t="s">
        <v>44</v>
      </c>
      <c r="D7" s="65" t="s">
        <v>246</v>
      </c>
      <c r="E7" s="65">
        <v>76000</v>
      </c>
      <c r="F7" s="65">
        <v>0.1</v>
      </c>
      <c r="I7" s="65" t="s">
        <v>247</v>
      </c>
    </row>
    <row r="8" spans="1:10" x14ac:dyDescent="0.3">
      <c r="A8" s="65">
        <v>107</v>
      </c>
      <c r="B8" s="65" t="s">
        <v>248</v>
      </c>
      <c r="C8" s="65" t="s">
        <v>46</v>
      </c>
      <c r="D8" s="65" t="s">
        <v>239</v>
      </c>
      <c r="E8" s="65">
        <v>82000</v>
      </c>
      <c r="F8" s="65">
        <v>7.0000000000000007E-2</v>
      </c>
      <c r="I8" s="65" t="s">
        <v>249</v>
      </c>
    </row>
    <row r="9" spans="1:10" x14ac:dyDescent="0.3">
      <c r="A9" s="65">
        <v>108</v>
      </c>
      <c r="B9" s="65" t="s">
        <v>250</v>
      </c>
      <c r="C9" s="65" t="s">
        <v>45</v>
      </c>
      <c r="D9" s="65" t="s">
        <v>236</v>
      </c>
      <c r="E9" s="65">
        <v>55000</v>
      </c>
      <c r="F9" s="65">
        <v>0.09</v>
      </c>
      <c r="I9" s="65" t="s">
        <v>251</v>
      </c>
    </row>
    <row r="10" spans="1:10" x14ac:dyDescent="0.3">
      <c r="A10" s="65">
        <v>109</v>
      </c>
      <c r="B10" s="65" t="s">
        <v>252</v>
      </c>
      <c r="C10" s="65" t="s">
        <v>232</v>
      </c>
      <c r="D10" s="65" t="s">
        <v>246</v>
      </c>
      <c r="E10" s="65">
        <v>68000</v>
      </c>
      <c r="F10" s="65">
        <v>0.1</v>
      </c>
      <c r="I10" s="65" t="s">
        <v>253</v>
      </c>
    </row>
    <row r="11" spans="1:10" x14ac:dyDescent="0.3">
      <c r="A11" s="65">
        <v>110</v>
      </c>
      <c r="B11" s="65" t="s">
        <v>254</v>
      </c>
      <c r="C11" s="65" t="s">
        <v>46</v>
      </c>
      <c r="D11" s="65" t="s">
        <v>233</v>
      </c>
      <c r="E11" s="65">
        <v>85000</v>
      </c>
      <c r="F11" s="65">
        <v>0.12</v>
      </c>
      <c r="I11" s="65" t="s">
        <v>255</v>
      </c>
    </row>
    <row r="12" spans="1:10" x14ac:dyDescent="0.3">
      <c r="I12" s="65" t="s">
        <v>256</v>
      </c>
    </row>
    <row r="13" spans="1:10" x14ac:dyDescent="0.3">
      <c r="I13" s="65" t="s">
        <v>257</v>
      </c>
    </row>
    <row r="14" spans="1:10" x14ac:dyDescent="0.3">
      <c r="I14" s="65" t="s">
        <v>258</v>
      </c>
    </row>
    <row r="15" spans="1:10" x14ac:dyDescent="0.3">
      <c r="I15" s="65" t="s">
        <v>259</v>
      </c>
    </row>
    <row r="16" spans="1:10" x14ac:dyDescent="0.3">
      <c r="I16" s="65" t="s">
        <v>260</v>
      </c>
    </row>
    <row r="17" spans="1:9" x14ac:dyDescent="0.3">
      <c r="I17" s="65" t="s">
        <v>261</v>
      </c>
    </row>
    <row r="18" spans="1:9" x14ac:dyDescent="0.3">
      <c r="I18" s="65" t="s">
        <v>262</v>
      </c>
    </row>
    <row r="19" spans="1:9" x14ac:dyDescent="0.3">
      <c r="I19" s="65" t="s">
        <v>263</v>
      </c>
    </row>
    <row r="20" spans="1:9" x14ac:dyDescent="0.3">
      <c r="I20" s="65" t="s">
        <v>264</v>
      </c>
    </row>
    <row r="21" spans="1:9" x14ac:dyDescent="0.3">
      <c r="I21" s="65" t="s">
        <v>265</v>
      </c>
    </row>
    <row r="25" spans="1:9" x14ac:dyDescent="0.3">
      <c r="A25" s="132" t="s">
        <v>266</v>
      </c>
      <c r="B25" s="133"/>
      <c r="C25" s="133"/>
      <c r="D25" s="133"/>
      <c r="E25" s="133"/>
      <c r="F25" s="133"/>
      <c r="G25" s="133"/>
      <c r="H25" s="133"/>
      <c r="I25" s="133"/>
    </row>
  </sheetData>
  <mergeCells count="1">
    <mergeCell ref="A25:I25"/>
  </mergeCells>
  <hyperlinks>
    <hyperlink ref="A25" r:id="rId1" xr:uid="{DA744765-1E4A-472E-93B9-8433C006526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F5792-D527-4DAE-8F40-0C8A70D97254}">
  <dimension ref="A1:N24"/>
  <sheetViews>
    <sheetView workbookViewId="0">
      <selection activeCell="D15" sqref="A1:XFD1048576"/>
    </sheetView>
  </sheetViews>
  <sheetFormatPr defaultRowHeight="13.8" x14ac:dyDescent="0.3"/>
  <cols>
    <col min="1" max="1" width="19.88671875" style="65" bestFit="1" customWidth="1"/>
    <col min="2" max="2" width="9.6640625" style="65" bestFit="1" customWidth="1"/>
    <col min="3" max="3" width="9" style="65" bestFit="1" customWidth="1"/>
    <col min="4" max="5" width="9.6640625" style="65" bestFit="1" customWidth="1"/>
    <col min="6" max="6" width="9.77734375" style="65" bestFit="1" customWidth="1"/>
    <col min="7" max="7" width="9" style="65" bestFit="1" customWidth="1"/>
    <col min="8" max="8" width="8.88671875" style="65" bestFit="1" customWidth="1"/>
    <col min="9" max="9" width="11.44140625" style="65" bestFit="1" customWidth="1"/>
    <col min="10" max="10" width="9.33203125" style="65" bestFit="1" customWidth="1"/>
    <col min="11" max="11" width="9.21875" style="65" bestFit="1" customWidth="1"/>
    <col min="12" max="12" width="2" style="65" bestFit="1" customWidth="1"/>
    <col min="13" max="13" width="56.21875" style="65" bestFit="1" customWidth="1"/>
    <col min="14" max="14" width="37.109375" style="65" bestFit="1" customWidth="1"/>
    <col min="15" max="16384" width="8.88671875" style="65"/>
  </cols>
  <sheetData>
    <row r="1" spans="1:14" x14ac:dyDescent="0.3">
      <c r="A1" s="88" t="s">
        <v>267</v>
      </c>
      <c r="B1" s="88" t="s">
        <v>268</v>
      </c>
      <c r="C1" s="88" t="s">
        <v>269</v>
      </c>
      <c r="D1" s="88" t="s">
        <v>270</v>
      </c>
      <c r="E1" s="88" t="s">
        <v>271</v>
      </c>
      <c r="F1" s="88" t="s">
        <v>272</v>
      </c>
      <c r="G1" s="88" t="s">
        <v>273</v>
      </c>
      <c r="H1" s="88" t="s">
        <v>274</v>
      </c>
      <c r="I1" s="88" t="s">
        <v>275</v>
      </c>
      <c r="J1" s="88" t="s">
        <v>276</v>
      </c>
      <c r="K1" s="88" t="s">
        <v>277</v>
      </c>
      <c r="L1" s="88">
        <v>0</v>
      </c>
      <c r="M1" s="88" t="s">
        <v>219</v>
      </c>
      <c r="N1" s="88" t="s">
        <v>230</v>
      </c>
    </row>
    <row r="2" spans="1:14" x14ac:dyDescent="0.3">
      <c r="A2" s="65" t="s">
        <v>225</v>
      </c>
      <c r="B2" s="65">
        <v>101</v>
      </c>
      <c r="C2" s="65">
        <v>102</v>
      </c>
      <c r="D2" s="65">
        <v>103</v>
      </c>
      <c r="E2" s="65">
        <v>104</v>
      </c>
      <c r="F2" s="65">
        <v>105</v>
      </c>
      <c r="G2" s="65">
        <v>106</v>
      </c>
      <c r="H2" s="65">
        <v>107</v>
      </c>
      <c r="I2" s="65">
        <v>108</v>
      </c>
      <c r="J2" s="65">
        <v>109</v>
      </c>
      <c r="K2" s="65">
        <v>110</v>
      </c>
    </row>
    <row r="3" spans="1:14" x14ac:dyDescent="0.3">
      <c r="A3" s="65" t="s">
        <v>226</v>
      </c>
      <c r="B3" s="65" t="s">
        <v>231</v>
      </c>
      <c r="C3" s="65" t="s">
        <v>235</v>
      </c>
      <c r="D3" s="65" t="s">
        <v>238</v>
      </c>
      <c r="E3" s="65" t="s">
        <v>241</v>
      </c>
      <c r="F3" s="65" t="s">
        <v>243</v>
      </c>
      <c r="G3" s="65" t="s">
        <v>245</v>
      </c>
      <c r="H3" s="65" t="s">
        <v>248</v>
      </c>
      <c r="I3" s="65" t="s">
        <v>250</v>
      </c>
      <c r="J3" s="65" t="s">
        <v>252</v>
      </c>
      <c r="K3" s="65" t="s">
        <v>254</v>
      </c>
    </row>
    <row r="4" spans="1:14" x14ac:dyDescent="0.3">
      <c r="A4" s="65" t="s">
        <v>42</v>
      </c>
      <c r="B4" s="65" t="s">
        <v>232</v>
      </c>
      <c r="C4" s="65" t="s">
        <v>44</v>
      </c>
      <c r="D4" s="65" t="s">
        <v>46</v>
      </c>
      <c r="E4" s="65" t="s">
        <v>45</v>
      </c>
      <c r="F4" s="65" t="s">
        <v>232</v>
      </c>
      <c r="G4" s="65" t="s">
        <v>44</v>
      </c>
      <c r="H4" s="65" t="s">
        <v>46</v>
      </c>
      <c r="I4" s="65" t="s">
        <v>45</v>
      </c>
      <c r="J4" s="65" t="s">
        <v>232</v>
      </c>
      <c r="K4" s="65" t="s">
        <v>46</v>
      </c>
    </row>
    <row r="5" spans="1:14" x14ac:dyDescent="0.3">
      <c r="A5" s="65" t="s">
        <v>227</v>
      </c>
      <c r="B5" s="65" t="s">
        <v>233</v>
      </c>
      <c r="C5" s="65" t="s">
        <v>236</v>
      </c>
      <c r="D5" s="65" t="s">
        <v>239</v>
      </c>
      <c r="E5" s="65" t="s">
        <v>233</v>
      </c>
      <c r="F5" s="65" t="s">
        <v>236</v>
      </c>
      <c r="G5" s="65" t="s">
        <v>246</v>
      </c>
      <c r="H5" s="65" t="s">
        <v>239</v>
      </c>
      <c r="I5" s="65" t="s">
        <v>236</v>
      </c>
      <c r="J5" s="65" t="s">
        <v>246</v>
      </c>
      <c r="K5" s="65" t="s">
        <v>233</v>
      </c>
    </row>
    <row r="6" spans="1:14" x14ac:dyDescent="0.3">
      <c r="A6" s="65" t="s">
        <v>228</v>
      </c>
      <c r="B6" s="65">
        <v>65000</v>
      </c>
      <c r="C6" s="65">
        <v>72000</v>
      </c>
      <c r="D6" s="65">
        <v>80000</v>
      </c>
      <c r="E6" s="65">
        <v>58000</v>
      </c>
      <c r="F6" s="65">
        <v>62000</v>
      </c>
      <c r="G6" s="65">
        <v>76000</v>
      </c>
      <c r="H6" s="65">
        <v>82000</v>
      </c>
      <c r="I6" s="65">
        <v>55000</v>
      </c>
      <c r="J6" s="65">
        <v>68000</v>
      </c>
      <c r="K6" s="65">
        <v>85000</v>
      </c>
    </row>
    <row r="7" spans="1:14" x14ac:dyDescent="0.3">
      <c r="A7" s="65" t="s">
        <v>229</v>
      </c>
      <c r="B7" s="65">
        <v>0.1</v>
      </c>
      <c r="C7" s="65">
        <v>0.12</v>
      </c>
      <c r="D7" s="65">
        <v>0.08</v>
      </c>
      <c r="E7" s="65">
        <v>0.09</v>
      </c>
      <c r="F7" s="65">
        <v>0.11</v>
      </c>
      <c r="G7" s="65">
        <v>0.1</v>
      </c>
      <c r="H7" s="65">
        <v>7.0000000000000007E-2</v>
      </c>
      <c r="I7" s="65">
        <v>0.09</v>
      </c>
      <c r="J7" s="65">
        <v>0.1</v>
      </c>
      <c r="K7" s="65">
        <v>0.12</v>
      </c>
    </row>
    <row r="9" spans="1:14" x14ac:dyDescent="0.3">
      <c r="M9" s="65" t="s">
        <v>278</v>
      </c>
      <c r="N9" s="65" t="str">
        <f>HLOOKUP(104, B2:K6, 2, FALSE)</f>
        <v>David Chen</v>
      </c>
    </row>
    <row r="10" spans="1:14" x14ac:dyDescent="0.3">
      <c r="M10" s="65" t="s">
        <v>279</v>
      </c>
      <c r="N10" s="65">
        <v>0</v>
      </c>
    </row>
    <row r="11" spans="1:14" x14ac:dyDescent="0.3">
      <c r="M11" s="65" t="s">
        <v>280</v>
      </c>
      <c r="N11" s="65">
        <v>0</v>
      </c>
    </row>
    <row r="12" spans="1:14" x14ac:dyDescent="0.3">
      <c r="M12" s="65" t="s">
        <v>281</v>
      </c>
      <c r="N12" s="65">
        <v>0</v>
      </c>
    </row>
    <row r="13" spans="1:14" x14ac:dyDescent="0.3">
      <c r="M13" s="65" t="s">
        <v>282</v>
      </c>
      <c r="N13" s="65">
        <v>0</v>
      </c>
    </row>
    <row r="14" spans="1:14" x14ac:dyDescent="0.3">
      <c r="M14" s="65" t="s">
        <v>283</v>
      </c>
      <c r="N14" s="65">
        <v>0</v>
      </c>
    </row>
    <row r="15" spans="1:14" x14ac:dyDescent="0.3">
      <c r="M15" s="65" t="s">
        <v>284</v>
      </c>
      <c r="N15" s="65">
        <v>0</v>
      </c>
    </row>
    <row r="16" spans="1:14" x14ac:dyDescent="0.3">
      <c r="M16" s="65" t="s">
        <v>285</v>
      </c>
      <c r="N16" s="65" t="s">
        <v>286</v>
      </c>
    </row>
    <row r="17" spans="1:14" x14ac:dyDescent="0.3">
      <c r="M17" s="65" t="s">
        <v>287</v>
      </c>
      <c r="N17" s="65">
        <v>0</v>
      </c>
    </row>
    <row r="18" spans="1:14" x14ac:dyDescent="0.3">
      <c r="M18" s="65" t="s">
        <v>288</v>
      </c>
      <c r="N18" s="65">
        <v>0</v>
      </c>
    </row>
    <row r="24" spans="1:14" x14ac:dyDescent="0.3">
      <c r="A24" s="132" t="s">
        <v>289</v>
      </c>
      <c r="B24" s="133"/>
      <c r="C24" s="133"/>
      <c r="D24" s="133"/>
      <c r="E24" s="133"/>
      <c r="F24" s="133"/>
      <c r="G24" s="133"/>
      <c r="H24" s="133"/>
      <c r="I24" s="133"/>
    </row>
  </sheetData>
  <mergeCells count="1">
    <mergeCell ref="A24:I24"/>
  </mergeCells>
  <hyperlinks>
    <hyperlink ref="A24" r:id="rId1" xr:uid="{9C1324F4-AF41-44EA-9993-7DB6909778E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A70E6-D93D-44C4-88D6-4B03C3177468}">
  <dimension ref="A1:I23"/>
  <sheetViews>
    <sheetView workbookViewId="0">
      <selection activeCell="H18" sqref="H18"/>
    </sheetView>
  </sheetViews>
  <sheetFormatPr defaultRowHeight="13.8" x14ac:dyDescent="0.3"/>
  <cols>
    <col min="1" max="1" width="39.21875" style="65" bestFit="1" customWidth="1"/>
    <col min="2" max="2" width="12.6640625" style="65" bestFit="1" customWidth="1"/>
    <col min="3" max="3" width="9.77734375" style="65" bestFit="1" customWidth="1"/>
    <col min="4" max="4" width="6.44140625" style="65" bestFit="1" customWidth="1"/>
    <col min="5" max="5" width="5" style="65" bestFit="1" customWidth="1"/>
    <col min="6" max="16384" width="8.88671875" style="65"/>
  </cols>
  <sheetData>
    <row r="1" spans="1:5" s="89" customFormat="1" x14ac:dyDescent="0.3">
      <c r="A1" s="89" t="s">
        <v>91</v>
      </c>
      <c r="B1" s="89" t="s">
        <v>92</v>
      </c>
      <c r="C1" s="89" t="s">
        <v>77</v>
      </c>
      <c r="D1" s="89" t="s">
        <v>19</v>
      </c>
      <c r="E1" s="89" t="s">
        <v>2</v>
      </c>
    </row>
    <row r="2" spans="1:5" x14ac:dyDescent="0.3">
      <c r="A2" s="65">
        <v>101</v>
      </c>
      <c r="B2" s="65" t="s">
        <v>63</v>
      </c>
      <c r="C2" s="65" t="s">
        <v>23</v>
      </c>
      <c r="D2" s="65" t="s">
        <v>22</v>
      </c>
      <c r="E2" s="65">
        <v>5000</v>
      </c>
    </row>
    <row r="3" spans="1:5" x14ac:dyDescent="0.3">
      <c r="A3" s="65">
        <v>102</v>
      </c>
      <c r="B3" s="65" t="s">
        <v>290</v>
      </c>
      <c r="C3" s="65" t="s">
        <v>23</v>
      </c>
      <c r="D3" s="65" t="s">
        <v>24</v>
      </c>
      <c r="E3" s="65">
        <v>3000</v>
      </c>
    </row>
    <row r="4" spans="1:5" x14ac:dyDescent="0.3">
      <c r="A4" s="65">
        <v>103</v>
      </c>
      <c r="B4" s="65" t="s">
        <v>291</v>
      </c>
      <c r="C4" s="65" t="s">
        <v>292</v>
      </c>
      <c r="D4" s="65" t="s">
        <v>26</v>
      </c>
      <c r="E4" s="65">
        <v>1500</v>
      </c>
    </row>
    <row r="5" spans="1:5" x14ac:dyDescent="0.3">
      <c r="A5" s="65">
        <v>104</v>
      </c>
      <c r="B5" s="65" t="s">
        <v>293</v>
      </c>
      <c r="C5" s="65" t="s">
        <v>292</v>
      </c>
      <c r="D5" s="65" t="s">
        <v>29</v>
      </c>
      <c r="E5" s="65">
        <v>2500</v>
      </c>
    </row>
    <row r="6" spans="1:5" x14ac:dyDescent="0.3">
      <c r="A6" s="65">
        <v>105</v>
      </c>
      <c r="B6" s="65" t="s">
        <v>81</v>
      </c>
      <c r="C6" s="65" t="s">
        <v>23</v>
      </c>
      <c r="D6" s="65" t="s">
        <v>22</v>
      </c>
      <c r="E6" s="65">
        <v>4000</v>
      </c>
    </row>
    <row r="8" spans="1:5" s="89" customFormat="1" x14ac:dyDescent="0.3">
      <c r="A8" s="89" t="s">
        <v>294</v>
      </c>
    </row>
    <row r="9" spans="1:5" s="89" customFormat="1" x14ac:dyDescent="0.3">
      <c r="A9" s="89" t="s">
        <v>219</v>
      </c>
      <c r="B9" s="89" t="s">
        <v>218</v>
      </c>
      <c r="C9" s="89" t="s">
        <v>43</v>
      </c>
    </row>
    <row r="10" spans="1:5" x14ac:dyDescent="0.3">
      <c r="A10" s="65" t="s">
        <v>295</v>
      </c>
      <c r="B10" s="65">
        <f>INDEX(E2:E6, MATCH("Phone", B2:B6, 0))</f>
        <v>3000</v>
      </c>
      <c r="C10" s="65">
        <v>3000</v>
      </c>
    </row>
    <row r="11" spans="1:5" x14ac:dyDescent="0.3">
      <c r="A11" s="65" t="s">
        <v>296</v>
      </c>
      <c r="B11" s="65" t="str">
        <f>INDEX(D2:D6, MATCH(104, A2:A6, 0))</f>
        <v>West</v>
      </c>
      <c r="C11" s="65" t="s">
        <v>29</v>
      </c>
    </row>
    <row r="12" spans="1:5" x14ac:dyDescent="0.3">
      <c r="A12" s="65" t="s">
        <v>297</v>
      </c>
      <c r="C12" s="65" t="s">
        <v>23</v>
      </c>
    </row>
    <row r="13" spans="1:5" x14ac:dyDescent="0.3">
      <c r="A13" s="65" t="s">
        <v>298</v>
      </c>
      <c r="C13" s="65">
        <v>5000</v>
      </c>
    </row>
    <row r="14" spans="1:5" x14ac:dyDescent="0.3">
      <c r="A14" s="65" t="s">
        <v>299</v>
      </c>
      <c r="C14" s="65" t="s">
        <v>291</v>
      </c>
    </row>
    <row r="15" spans="1:5" x14ac:dyDescent="0.3">
      <c r="A15" s="65" t="s">
        <v>300</v>
      </c>
      <c r="C15" s="65" t="s">
        <v>26</v>
      </c>
    </row>
    <row r="16" spans="1:5" x14ac:dyDescent="0.3">
      <c r="A16" s="65" t="s">
        <v>301</v>
      </c>
      <c r="C16" s="65">
        <v>4000</v>
      </c>
    </row>
    <row r="17" spans="1:9" x14ac:dyDescent="0.3">
      <c r="A17" s="65" t="s">
        <v>302</v>
      </c>
      <c r="C17" s="65" t="s">
        <v>23</v>
      </c>
    </row>
    <row r="18" spans="1:9" x14ac:dyDescent="0.3">
      <c r="A18" s="65" t="s">
        <v>303</v>
      </c>
      <c r="C18" s="65" t="s">
        <v>293</v>
      </c>
    </row>
    <row r="19" spans="1:9" x14ac:dyDescent="0.3">
      <c r="A19" s="65" t="s">
        <v>304</v>
      </c>
      <c r="C19" s="65" t="s">
        <v>22</v>
      </c>
    </row>
    <row r="23" spans="1:9" x14ac:dyDescent="0.3">
      <c r="A23" s="132" t="s">
        <v>305</v>
      </c>
      <c r="B23" s="133"/>
      <c r="C23" s="133"/>
      <c r="D23" s="133"/>
      <c r="E23" s="133"/>
      <c r="F23" s="133"/>
      <c r="G23" s="133"/>
      <c r="H23" s="133"/>
      <c r="I23" s="133"/>
    </row>
  </sheetData>
  <mergeCells count="1">
    <mergeCell ref="A23:I23"/>
  </mergeCells>
  <hyperlinks>
    <hyperlink ref="A23" r:id="rId1" xr:uid="{84AAEC77-B9FF-440B-B977-DC74327C06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SUMIF,AVGIF</vt:lpstr>
      <vt:lpstr>COUNTIF,IFs</vt:lpstr>
      <vt:lpstr>V,HLOOKUP</vt:lpstr>
      <vt:lpstr>X,INDEX,MATCH</vt:lpstr>
      <vt:lpstr>Practice SUMIF</vt:lpstr>
      <vt:lpstr>COUNTIF</vt:lpstr>
      <vt:lpstr>VLOOKUP</vt:lpstr>
      <vt:lpstr>HLOOKUP</vt:lpstr>
      <vt:lpstr>INDEXMATCH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2026-04-23T20:12:09Z</dcterms:modified>
</cp:coreProperties>
</file>