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116" documentId="11_F25DC773A252ABDACC1048BD89DC52D45ADE58EF" xr6:coauthVersionLast="47" xr6:coauthVersionMax="47" xr10:uidLastSave="{6AA74B8E-F6A0-4510-98E1-CC4DB79B52AF}"/>
  <bookViews>
    <workbookView xWindow="-108" yWindow="-108" windowWidth="23256" windowHeight="12456" activeTab="2" xr2:uid="{00000000-000D-0000-FFFF-FFFF00000000}"/>
  </bookViews>
  <sheets>
    <sheet name="SUMIF,AVGIF" sheetId="1" r:id="rId1"/>
    <sheet name="COUNTIF,IFs" sheetId="2" r:id="rId2"/>
    <sheet name="V,HLOOKU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3" i="3" l="1"/>
  <c r="H12" i="3"/>
  <c r="H11" i="3"/>
  <c r="F5" i="3"/>
  <c r="F4" i="3"/>
  <c r="E34" i="2"/>
  <c r="G19" i="2"/>
  <c r="G18" i="2"/>
  <c r="E33" i="2"/>
  <c r="G6" i="2" l="1"/>
  <c r="G5" i="2"/>
  <c r="G4" i="2"/>
  <c r="G3" i="2"/>
  <c r="G20" i="1"/>
  <c r="G19" i="1"/>
  <c r="G17" i="1"/>
  <c r="G18" i="1"/>
  <c r="E5" i="1"/>
  <c r="E4" i="1"/>
  <c r="E3" i="1"/>
</calcChain>
</file>

<file path=xl/sharedStrings.xml><?xml version="1.0" encoding="utf-8"?>
<sst xmlns="http://schemas.openxmlformats.org/spreadsheetml/2006/main" count="256" uniqueCount="90">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</sst>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6" fillId="0" borderId="0" xfId="0" applyFont="1" applyBorder="1" applyAlignment="1">
      <alignment horizontal="center" vertical="center" wrapText="1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0" borderId="22" xfId="0" applyFont="1" applyBorder="1"/>
    <xf numFmtId="0" fontId="2" fillId="0" borderId="23" xfId="0" applyFont="1" applyBorder="1"/>
    <xf numFmtId="0" fontId="10" fillId="0" borderId="2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53" t="s">
        <v>0</v>
      </c>
      <c r="B1" s="53"/>
      <c r="C1" s="53"/>
      <c r="D1" s="53"/>
      <c r="E1" s="53"/>
      <c r="F1" s="53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53" t="s">
        <v>18</v>
      </c>
      <c r="B15" s="53"/>
      <c r="C15" s="53"/>
      <c r="D15" s="53"/>
      <c r="E15" s="53"/>
      <c r="F15" s="53"/>
      <c r="G15" s="53"/>
      <c r="H15" s="53"/>
      <c r="I15" s="53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65" t="s">
        <v>18</v>
      </c>
      <c r="B1" s="66"/>
      <c r="C1" s="66"/>
      <c r="D1" s="66"/>
      <c r="E1" s="66"/>
      <c r="F1" s="66"/>
      <c r="G1" s="67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65" t="s">
        <v>18</v>
      </c>
      <c r="B16" s="66"/>
      <c r="C16" s="66"/>
      <c r="D16" s="66"/>
      <c r="E16" s="66"/>
      <c r="F16" s="77"/>
      <c r="G16" s="77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59" t="s">
        <v>70</v>
      </c>
      <c r="I18" s="60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59" t="s">
        <v>71</v>
      </c>
      <c r="I19" s="60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68" t="s">
        <v>60</v>
      </c>
      <c r="B31" s="69"/>
      <c r="C31" s="69"/>
      <c r="D31" s="69"/>
      <c r="E31" s="69"/>
      <c r="F31" s="69"/>
      <c r="G31" s="69"/>
      <c r="H31" s="70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61"/>
      <c r="G32" s="62"/>
      <c r="H32" s="63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71" t="s">
        <v>69</v>
      </c>
      <c r="G33" s="72"/>
      <c r="H33" s="73"/>
      <c r="I33" s="64" t="s">
        <v>72</v>
      </c>
      <c r="J33" s="60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74" t="s">
        <v>73</v>
      </c>
      <c r="G34" s="75"/>
      <c r="H34" s="76"/>
      <c r="I34" s="56" t="s">
        <v>74</v>
      </c>
      <c r="J34" s="56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58"/>
      <c r="G35" s="58"/>
      <c r="H35" s="58"/>
      <c r="I35" s="57"/>
      <c r="J35" s="56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58"/>
      <c r="G36" s="58"/>
      <c r="H36" s="58"/>
      <c r="I36" s="54"/>
      <c r="J36" s="55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58"/>
      <c r="G37" s="58"/>
      <c r="H37" s="58"/>
      <c r="I37" s="54"/>
      <c r="J37" s="55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58"/>
      <c r="G38" s="58"/>
      <c r="H38" s="58"/>
      <c r="I38" s="54"/>
      <c r="J38" s="55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58"/>
      <c r="G39" s="58"/>
      <c r="H39" s="58"/>
      <c r="I39" s="54"/>
      <c r="J39" s="55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58"/>
      <c r="G40" s="58"/>
      <c r="H40" s="58"/>
      <c r="I40" s="54"/>
      <c r="J40" s="55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58"/>
      <c r="G41" s="58"/>
      <c r="H41" s="58"/>
      <c r="I41" s="54"/>
      <c r="J41" s="55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58"/>
      <c r="G42" s="58"/>
      <c r="H42" s="58"/>
      <c r="I42" s="54"/>
      <c r="J42" s="55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58"/>
      <c r="G43" s="58"/>
      <c r="H43" s="58"/>
      <c r="I43" s="54"/>
      <c r="J43" s="55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58"/>
      <c r="G44" s="58"/>
      <c r="H44" s="58"/>
      <c r="I44" s="54"/>
      <c r="J44" s="55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58"/>
      <c r="G45" s="58"/>
      <c r="H45" s="58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58"/>
      <c r="G46" s="58"/>
      <c r="H46" s="58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58"/>
      <c r="G47" s="58"/>
      <c r="H47" s="58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58"/>
      <c r="G48" s="58"/>
      <c r="H48" s="58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58"/>
      <c r="G49" s="58"/>
      <c r="H49" s="58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58"/>
      <c r="G50" s="58"/>
      <c r="H50" s="58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58"/>
      <c r="G51" s="58"/>
      <c r="H51" s="58"/>
    </row>
  </sheetData>
  <mergeCells count="36"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tabSelected="1" workbookViewId="0">
      <selection activeCell="E27" sqref="E27"/>
    </sheetView>
  </sheetViews>
  <sheetFormatPr defaultRowHeight="13.8" x14ac:dyDescent="0.3"/>
  <cols>
    <col min="1" max="1" width="10.5546875" style="93" bestFit="1" customWidth="1"/>
    <col min="2" max="3" width="10" style="93" bestFit="1" customWidth="1"/>
    <col min="4" max="4" width="10.77734375" style="93" bestFit="1" customWidth="1"/>
    <col min="5" max="6" width="11" style="93" bestFit="1" customWidth="1"/>
    <col min="7" max="7" width="14.88671875" style="93" bestFit="1" customWidth="1"/>
    <col min="8" max="8" width="10" style="93" bestFit="1" customWidth="1"/>
    <col min="9" max="16384" width="8.88671875" style="93"/>
  </cols>
  <sheetData>
    <row r="1" spans="1:20" ht="14.4" thickBot="1" x14ac:dyDescent="0.35">
      <c r="A1" s="90" t="s">
        <v>75</v>
      </c>
      <c r="B1" s="91"/>
      <c r="C1" s="91"/>
      <c r="D1" s="91"/>
      <c r="E1" s="91"/>
      <c r="F1" s="92"/>
    </row>
    <row r="2" spans="1:20" ht="14.4" thickBot="1" x14ac:dyDescent="0.35">
      <c r="A2" s="83" t="s">
        <v>20</v>
      </c>
      <c r="B2" s="83" t="s">
        <v>76</v>
      </c>
      <c r="C2" s="83" t="s">
        <v>77</v>
      </c>
      <c r="D2" s="83" t="s">
        <v>78</v>
      </c>
      <c r="E2" s="84"/>
      <c r="F2" s="85" t="s">
        <v>6</v>
      </c>
    </row>
    <row r="3" spans="1:20" ht="14.4" thickBot="1" x14ac:dyDescent="0.35">
      <c r="A3" s="86" t="s">
        <v>63</v>
      </c>
      <c r="B3" s="86">
        <v>1000</v>
      </c>
      <c r="C3" s="86" t="s">
        <v>23</v>
      </c>
      <c r="D3" s="86">
        <v>20</v>
      </c>
      <c r="E3" s="84"/>
      <c r="F3" s="87"/>
    </row>
    <row r="4" spans="1:20" ht="14.4" thickBot="1" x14ac:dyDescent="0.35">
      <c r="A4" s="86" t="s">
        <v>79</v>
      </c>
      <c r="B4" s="86">
        <v>600</v>
      </c>
      <c r="C4" s="86" t="s">
        <v>23</v>
      </c>
      <c r="D4" s="86">
        <v>15</v>
      </c>
      <c r="E4" s="84"/>
      <c r="F4" s="87">
        <f>VLOOKUP("Tablet",A2:D7,4,0)</f>
        <v>15</v>
      </c>
      <c r="G4" s="93" t="s">
        <v>84</v>
      </c>
      <c r="H4" s="94" t="s">
        <v>89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</row>
    <row r="5" spans="1:20" ht="14.4" thickBot="1" x14ac:dyDescent="0.35">
      <c r="A5" s="86" t="s">
        <v>80</v>
      </c>
      <c r="B5" s="86">
        <v>800</v>
      </c>
      <c r="C5" s="86" t="s">
        <v>23</v>
      </c>
      <c r="D5" s="86">
        <v>30</v>
      </c>
      <c r="E5" s="84"/>
      <c r="F5" s="87">
        <f>VLOOKUP("Smartphone",A2:D7,2,0)</f>
        <v>800</v>
      </c>
      <c r="G5" s="93" t="s">
        <v>83</v>
      </c>
    </row>
    <row r="6" spans="1:20" ht="14.4" thickBot="1" x14ac:dyDescent="0.35">
      <c r="A6" s="86" t="s">
        <v>81</v>
      </c>
      <c r="B6" s="86">
        <v>300</v>
      </c>
      <c r="C6" s="86" t="s">
        <v>82</v>
      </c>
      <c r="D6" s="86">
        <v>25</v>
      </c>
      <c r="E6" s="84"/>
      <c r="F6" s="87"/>
    </row>
    <row r="7" spans="1:20" ht="14.4" thickBot="1" x14ac:dyDescent="0.35">
      <c r="A7" s="86" t="s">
        <v>67</v>
      </c>
      <c r="B7" s="86">
        <v>50</v>
      </c>
      <c r="C7" s="86" t="s">
        <v>82</v>
      </c>
      <c r="D7" s="86">
        <v>50</v>
      </c>
      <c r="E7" s="88"/>
      <c r="F7" s="89"/>
    </row>
    <row r="9" spans="1:20" ht="14.4" thickBot="1" x14ac:dyDescent="0.35"/>
    <row r="10" spans="1:20" ht="14.4" thickBot="1" x14ac:dyDescent="0.35">
      <c r="A10" s="79" t="s">
        <v>20</v>
      </c>
      <c r="B10" s="79" t="s">
        <v>63</v>
      </c>
      <c r="C10" s="79" t="s">
        <v>79</v>
      </c>
      <c r="D10" s="79" t="s">
        <v>80</v>
      </c>
      <c r="E10" s="79" t="s">
        <v>81</v>
      </c>
      <c r="F10" s="79" t="s">
        <v>67</v>
      </c>
      <c r="G10" s="95"/>
      <c r="H10" s="78" t="s">
        <v>8</v>
      </c>
      <c r="I10" s="94" t="s">
        <v>88</v>
      </c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</row>
    <row r="11" spans="1:20" ht="14.4" thickBot="1" x14ac:dyDescent="0.35">
      <c r="A11" s="79" t="s">
        <v>76</v>
      </c>
      <c r="B11" s="79">
        <v>1000</v>
      </c>
      <c r="C11" s="79">
        <v>600</v>
      </c>
      <c r="D11" s="79">
        <v>800</v>
      </c>
      <c r="E11" s="79">
        <v>300</v>
      </c>
      <c r="F11" s="79">
        <v>50</v>
      </c>
      <c r="G11" s="96"/>
      <c r="H11" s="80">
        <f>HLOOKUP("Laptop",A10:F13,2,0)</f>
        <v>1000</v>
      </c>
      <c r="I11" s="97" t="s">
        <v>85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</row>
    <row r="12" spans="1:20" ht="14.4" thickBot="1" x14ac:dyDescent="0.35">
      <c r="A12" s="79" t="s">
        <v>77</v>
      </c>
      <c r="B12" s="79" t="s">
        <v>23</v>
      </c>
      <c r="C12" s="79" t="s">
        <v>23</v>
      </c>
      <c r="D12" s="79" t="s">
        <v>23</v>
      </c>
      <c r="E12" s="79" t="s">
        <v>82</v>
      </c>
      <c r="F12" s="79" t="s">
        <v>82</v>
      </c>
      <c r="G12" s="96"/>
      <c r="H12" s="80" t="str">
        <f>HLOOKUP("Tablet",A10:F13,3,0)</f>
        <v>Electronics</v>
      </c>
      <c r="I12" s="97" t="s">
        <v>86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</row>
    <row r="13" spans="1:20" ht="14.4" thickBot="1" x14ac:dyDescent="0.35">
      <c r="A13" s="79" t="s">
        <v>78</v>
      </c>
      <c r="B13" s="79">
        <v>20</v>
      </c>
      <c r="C13" s="79">
        <v>15</v>
      </c>
      <c r="D13" s="79">
        <v>30</v>
      </c>
      <c r="E13" s="79">
        <v>25</v>
      </c>
      <c r="F13" s="79">
        <v>50</v>
      </c>
      <c r="G13" s="81"/>
      <c r="H13" s="82">
        <f>HLOOKUP("Keyboard",A10:F13,4,0)</f>
        <v>50</v>
      </c>
      <c r="I13" s="97" t="s">
        <v>87</v>
      </c>
      <c r="J13" s="94"/>
      <c r="K13" s="94"/>
      <c r="L13" s="94"/>
      <c r="M13" s="94"/>
      <c r="N13" s="94"/>
      <c r="O13" s="94"/>
      <c r="P13" s="94"/>
      <c r="Q13" s="94"/>
      <c r="R13" s="94"/>
      <c r="S13" s="94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SUMIF,AVGIF</vt:lpstr>
      <vt:lpstr>COUNTIF,IFs</vt:lpstr>
      <vt:lpstr>V,HLOOKUP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2026-04-15T18:52:41Z</dcterms:modified>
</cp:coreProperties>
</file>