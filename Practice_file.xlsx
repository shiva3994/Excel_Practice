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230" documentId="11_F25DC773A252ABDACC1048BD89DC52D45ADE58EF" xr6:coauthVersionLast="47" xr6:coauthVersionMax="47" xr10:uidLastSave="{96C385BB-B0EE-41F3-B4BE-24138FD23D9D}"/>
  <bookViews>
    <workbookView xWindow="-108" yWindow="-108" windowWidth="23256" windowHeight="12456" firstSheet="2" activeTab="8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COUNTIF" sheetId="6" r:id="rId6"/>
    <sheet name="VLOOKUP" sheetId="7" r:id="rId7"/>
    <sheet name="HLOOKUP" sheetId="8" r:id="rId8"/>
    <sheet name="INDEXMATCH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2" i="9" l="1"/>
  <c r="I14" i="8"/>
  <c r="I13" i="8"/>
  <c r="J6" i="7"/>
  <c r="J5" i="7"/>
  <c r="J4" i="7"/>
  <c r="K3" i="7"/>
  <c r="J3" i="7"/>
  <c r="J7" i="6"/>
  <c r="J6" i="6"/>
  <c r="K13" i="5"/>
  <c r="K12" i="5"/>
  <c r="K9" i="5"/>
  <c r="K7" i="5"/>
  <c r="K11" i="5"/>
  <c r="K10" i="5"/>
  <c r="K8" i="5"/>
  <c r="K6" i="5"/>
  <c r="K5" i="5"/>
  <c r="K4" i="5"/>
  <c r="K3" i="5"/>
  <c r="B11" i="9"/>
  <c r="B10" i="9"/>
  <c r="I12" i="8"/>
  <c r="J2" i="7"/>
  <c r="J3" i="6"/>
  <c r="J4" i="6"/>
  <c r="J5" i="6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<sst xmlns="http://schemas.openxmlformats.org/spreadsheetml/2006/main" count="635" uniqueCount="306">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</sst>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2D3134"/>
      <name val="Courier New"/>
      <family val="3"/>
    </font>
  </fonts>
  <fills count="10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36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  <xf numFmtId="0" fontId="14" fillId="0" borderId="0" xfId="0" applyFont="1"/>
    <xf numFmtId="0" fontId="3" fillId="2" borderId="1" xfId="0" applyFont="1" applyFill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6" fillId="0" borderId="0" xfId="0" applyFont="1" applyBorder="1" applyAlignment="1">
      <alignment horizontal="center" vertical="center" wrapText="1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95" t="s">
        <v>0</v>
      </c>
      <c r="B1" s="95"/>
      <c r="C1" s="95"/>
      <c r="D1" s="95"/>
      <c r="E1" s="95"/>
      <c r="F1" s="95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95" t="s">
        <v>18</v>
      </c>
      <c r="B15" s="95"/>
      <c r="C15" s="95"/>
      <c r="D15" s="95"/>
      <c r="E15" s="95"/>
      <c r="F15" s="95"/>
      <c r="G15" s="95"/>
      <c r="H15" s="95"/>
      <c r="I15" s="95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107" t="s">
        <v>18</v>
      </c>
      <c r="B1" s="108"/>
      <c r="C1" s="108"/>
      <c r="D1" s="108"/>
      <c r="E1" s="108"/>
      <c r="F1" s="108"/>
      <c r="G1" s="109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107" t="s">
        <v>18</v>
      </c>
      <c r="B16" s="108"/>
      <c r="C16" s="108"/>
      <c r="D16" s="108"/>
      <c r="E16" s="108"/>
      <c r="F16" s="119"/>
      <c r="G16" s="119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01" t="s">
        <v>70</v>
      </c>
      <c r="I18" s="102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01" t="s">
        <v>71</v>
      </c>
      <c r="I19" s="102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110" t="s">
        <v>60</v>
      </c>
      <c r="B31" s="111"/>
      <c r="C31" s="111"/>
      <c r="D31" s="111"/>
      <c r="E31" s="111"/>
      <c r="F31" s="111"/>
      <c r="G31" s="111"/>
      <c r="H31" s="112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03"/>
      <c r="G32" s="104"/>
      <c r="H32" s="105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113" t="s">
        <v>69</v>
      </c>
      <c r="G33" s="114"/>
      <c r="H33" s="115"/>
      <c r="I33" s="106" t="s">
        <v>72</v>
      </c>
      <c r="J33" s="102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116" t="s">
        <v>73</v>
      </c>
      <c r="G34" s="117"/>
      <c r="H34" s="118"/>
      <c r="I34" s="98" t="s">
        <v>74</v>
      </c>
      <c r="J34" s="98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100"/>
      <c r="G35" s="100"/>
      <c r="H35" s="100"/>
      <c r="I35" s="99"/>
      <c r="J35" s="98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100"/>
      <c r="G36" s="100"/>
      <c r="H36" s="100"/>
      <c r="I36" s="96"/>
      <c r="J36" s="97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100"/>
      <c r="G37" s="100"/>
      <c r="H37" s="100"/>
      <c r="I37" s="96"/>
      <c r="J37" s="97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100"/>
      <c r="G38" s="100"/>
      <c r="H38" s="100"/>
      <c r="I38" s="96"/>
      <c r="J38" s="97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100"/>
      <c r="G39" s="100"/>
      <c r="H39" s="100"/>
      <c r="I39" s="96"/>
      <c r="J39" s="97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100"/>
      <c r="G40" s="100"/>
      <c r="H40" s="100"/>
      <c r="I40" s="96"/>
      <c r="J40" s="97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100"/>
      <c r="G41" s="100"/>
      <c r="H41" s="100"/>
      <c r="I41" s="96"/>
      <c r="J41" s="97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100"/>
      <c r="G42" s="100"/>
      <c r="H42" s="100"/>
      <c r="I42" s="96"/>
      <c r="J42" s="97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100"/>
      <c r="G43" s="100"/>
      <c r="H43" s="100"/>
      <c r="I43" s="96"/>
      <c r="J43" s="97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100"/>
      <c r="G44" s="100"/>
      <c r="H44" s="100"/>
      <c r="I44" s="96"/>
      <c r="J44" s="97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100"/>
      <c r="G45" s="100"/>
      <c r="H45" s="100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100"/>
      <c r="G46" s="100"/>
      <c r="H46" s="100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100"/>
      <c r="G47" s="100"/>
      <c r="H47" s="100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100"/>
      <c r="G48" s="100"/>
      <c r="H48" s="100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100"/>
      <c r="G49" s="100"/>
      <c r="H49" s="100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100"/>
      <c r="G50" s="100"/>
      <c r="H50" s="100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100"/>
      <c r="G51" s="100"/>
      <c r="H51" s="100"/>
    </row>
  </sheetData>
  <mergeCells count="36"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20" t="s">
        <v>75</v>
      </c>
      <c r="B1" s="121"/>
      <c r="C1" s="121"/>
      <c r="D1" s="121"/>
      <c r="E1" s="121"/>
      <c r="F1" s="122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23" t="s">
        <v>89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23" t="s">
        <v>88</v>
      </c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24" t="s">
        <v>85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24" t="s">
        <v>86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24" t="s">
        <v>87</v>
      </c>
      <c r="J13" s="123"/>
      <c r="K13" s="123"/>
      <c r="L13" s="123"/>
      <c r="M13" s="123"/>
      <c r="N13" s="123"/>
      <c r="O13" s="123"/>
      <c r="P13" s="123"/>
      <c r="Q13" s="123"/>
      <c r="R13" s="123"/>
      <c r="S13" s="123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25" t="s">
        <v>90</v>
      </c>
      <c r="B1" s="126"/>
      <c r="C1" s="126"/>
      <c r="D1" s="126"/>
      <c r="E1" s="126"/>
      <c r="F1" s="126"/>
      <c r="G1" s="127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31" t="s">
        <v>109</v>
      </c>
      <c r="G3" s="132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31" t="s">
        <v>110</v>
      </c>
      <c r="G4" s="132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31" t="s">
        <v>112</v>
      </c>
      <c r="G5" s="132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31" t="s">
        <v>114</v>
      </c>
      <c r="G6" s="132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31" t="s">
        <v>115</v>
      </c>
      <c r="G7" s="132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31"/>
      <c r="G8" s="132"/>
      <c r="I8" s="123" t="s">
        <v>113</v>
      </c>
      <c r="J8" s="123"/>
      <c r="K8" s="123"/>
      <c r="L8" s="123"/>
      <c r="M8" s="123"/>
      <c r="N8" s="123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31" t="s">
        <v>120</v>
      </c>
      <c r="G9" s="132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31"/>
      <c r="G10" s="132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31" t="s">
        <v>123</v>
      </c>
      <c r="G11" s="132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8" t="s">
        <v>18</v>
      </c>
      <c r="B14" s="129"/>
      <c r="C14" s="129"/>
      <c r="D14" s="129"/>
      <c r="E14" s="129"/>
      <c r="F14" s="129"/>
      <c r="G14" s="130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L25"/>
  <sheetViews>
    <sheetView workbookViewId="0">
      <selection activeCell="L20" sqref="L20"/>
    </sheetView>
  </sheetViews>
  <sheetFormatPr defaultRowHeight="13.8" x14ac:dyDescent="0.3"/>
  <cols>
    <col min="1" max="1" width="10.6640625" style="65" customWidth="1"/>
    <col min="2" max="2" width="10.6640625" style="65" bestFit="1" customWidth="1"/>
    <col min="3" max="3" width="14.88671875" style="65" bestFit="1" customWidth="1"/>
    <col min="4" max="4" width="7.33203125" style="65" bestFit="1" customWidth="1"/>
    <col min="5" max="5" width="14.88671875" style="65" bestFit="1" customWidth="1"/>
    <col min="6" max="6" width="6.44140625" style="65" bestFit="1" customWidth="1"/>
    <col min="7" max="8" width="8.88671875" style="65"/>
    <col min="9" max="9" width="9" style="65" bestFit="1" customWidth="1"/>
    <col min="10" max="10" width="58.77734375" style="65" bestFit="1" customWidth="1"/>
    <col min="11" max="11" width="17.44140625" style="65" customWidth="1"/>
    <col min="12" max="16384" width="8.88671875" style="65"/>
  </cols>
  <sheetData>
    <row r="1" spans="1:12" x14ac:dyDescent="0.3">
      <c r="A1" s="90" t="s">
        <v>125</v>
      </c>
      <c r="B1" s="88" t="s">
        <v>42</v>
      </c>
      <c r="C1" s="88" t="s">
        <v>126</v>
      </c>
      <c r="D1" s="88" t="s">
        <v>127</v>
      </c>
      <c r="E1" s="88" t="s">
        <v>128</v>
      </c>
      <c r="F1" s="88" t="s">
        <v>19</v>
      </c>
      <c r="G1" s="91"/>
      <c r="I1" s="88" t="s">
        <v>129</v>
      </c>
      <c r="J1" s="88" t="s">
        <v>130</v>
      </c>
    </row>
    <row r="2" spans="1:12" x14ac:dyDescent="0.3">
      <c r="A2" s="9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2" x14ac:dyDescent="0.3">
      <c r="A3" s="9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  <c r="K3" s="65">
        <f>SUMIF(B2:B11,"Sales",D2:D11)</f>
        <v>5650</v>
      </c>
    </row>
    <row r="4" spans="1:12" x14ac:dyDescent="0.3">
      <c r="A4" s="9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  <c r="K4" s="65">
        <f>SUMIFS(D2:D11,C2:C11,"Utilities",F2:F11,"East")</f>
        <v>1450</v>
      </c>
    </row>
    <row r="5" spans="1:12" x14ac:dyDescent="0.3">
      <c r="A5" s="9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  <c r="K5" s="65">
        <f>SUMIF(E2:E11,"Credit Card",D2:D11)</f>
        <v>2500</v>
      </c>
    </row>
    <row r="6" spans="1:12" x14ac:dyDescent="0.3">
      <c r="A6" s="9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  <c r="K6" s="65">
        <f>SUMIF(B2:B11,"HR",D2:D11)</f>
        <v>5400</v>
      </c>
    </row>
    <row r="7" spans="1:12" x14ac:dyDescent="0.3">
      <c r="A7" s="9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SUMIFS(D:D,C:C,"Software",A:A,"&gt;=01-Jan-2025",A:A,"&lt;=31-Jan-2025")</f>
        <v>1200</v>
      </c>
    </row>
    <row r="8" spans="1:12" x14ac:dyDescent="0.3">
      <c r="A8" s="9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  <c r="K8" s="65">
        <f>SUMIFS(D2:D11,C2:C11,"Travel",F2:F11,"West",E2:E11,"Credit Card")</f>
        <v>950</v>
      </c>
    </row>
    <row r="9" spans="1:12" x14ac:dyDescent="0.3">
      <c r="A9" s="9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  <c r="K9" s="65">
        <f>SUMIFS(D2:D11,B2:B11,"IT",A2:A11,"&gt;=01-Feb-2025",A2:A11,"&lt;=28-Feb-2025")</f>
        <v>2500</v>
      </c>
    </row>
    <row r="10" spans="1:12" x14ac:dyDescent="0.3">
      <c r="A10" s="9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  <c r="K10" s="65">
        <f>SUMIFS(D2:D11,C2:C11,"Office Supplies",F2:F11,"North")</f>
        <v>400</v>
      </c>
    </row>
    <row r="11" spans="1:12" x14ac:dyDescent="0.3">
      <c r="A11" s="9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  <c r="K11" s="65">
        <f>SUMIFS(D2:D11,C2:C11,"Utilities",E2:E11,"Bank Transfer")</f>
        <v>750</v>
      </c>
    </row>
    <row r="12" spans="1:12" x14ac:dyDescent="0.3">
      <c r="A12" s="92"/>
      <c r="I12" s="65" t="s">
        <v>159</v>
      </c>
      <c r="J12" s="65" t="s">
        <v>160</v>
      </c>
      <c r="K12" s="65">
        <f>SUMIFS(D2:D11,F2:F11,"East",A2:A11,"&gt;=1-Jan-2025",A2:A11,"&lt;=31-Jan-2025")</f>
        <v>1550</v>
      </c>
    </row>
    <row r="13" spans="1:12" x14ac:dyDescent="0.3">
      <c r="A13" s="92"/>
      <c r="I13" s="65" t="s">
        <v>161</v>
      </c>
      <c r="J13" s="65" t="s">
        <v>162</v>
      </c>
      <c r="K13" s="65">
        <f>SUMIFS(D2:D11,C2:C11,"Salaries",F2:F11,"East",A2:A11,"&gt;=01-Feb-2025",A2:A11,"&lt;=28-Feb-2025")</f>
        <v>4800</v>
      </c>
      <c r="L13" s="94"/>
    </row>
    <row r="14" spans="1:12" x14ac:dyDescent="0.3">
      <c r="A14" s="92"/>
      <c r="I14" s="65" t="s">
        <v>163</v>
      </c>
      <c r="J14" s="65" t="s">
        <v>164</v>
      </c>
    </row>
    <row r="15" spans="1:12" x14ac:dyDescent="0.3">
      <c r="A15" s="92"/>
      <c r="I15" s="65" t="s">
        <v>165</v>
      </c>
      <c r="J15" s="65" t="s">
        <v>166</v>
      </c>
    </row>
    <row r="16" spans="1:12" x14ac:dyDescent="0.3">
      <c r="A16" s="92"/>
      <c r="I16" s="65" t="s">
        <v>167</v>
      </c>
      <c r="J16" s="65" t="s">
        <v>168</v>
      </c>
    </row>
    <row r="17" spans="1:10" x14ac:dyDescent="0.3">
      <c r="A17" s="92"/>
      <c r="I17" s="65" t="s">
        <v>169</v>
      </c>
      <c r="J17" s="65" t="s">
        <v>170</v>
      </c>
    </row>
    <row r="18" spans="1:10" x14ac:dyDescent="0.3">
      <c r="A18" s="92"/>
      <c r="I18" s="65" t="s">
        <v>171</v>
      </c>
      <c r="J18" s="65" t="s">
        <v>172</v>
      </c>
    </row>
    <row r="19" spans="1:10" x14ac:dyDescent="0.3">
      <c r="A19" s="92"/>
      <c r="I19" s="65" t="s">
        <v>173</v>
      </c>
      <c r="J19" s="65" t="s">
        <v>174</v>
      </c>
    </row>
    <row r="20" spans="1:10" x14ac:dyDescent="0.3">
      <c r="A20" s="92"/>
      <c r="I20" s="65" t="s">
        <v>175</v>
      </c>
      <c r="J20" s="65" t="s">
        <v>176</v>
      </c>
    </row>
    <row r="21" spans="1:10" x14ac:dyDescent="0.3">
      <c r="A21" s="92"/>
      <c r="I21" s="65" t="s">
        <v>177</v>
      </c>
      <c r="J21" s="65" t="s">
        <v>178</v>
      </c>
    </row>
    <row r="22" spans="1:10" x14ac:dyDescent="0.3">
      <c r="A22" s="93" t="s">
        <v>179</v>
      </c>
    </row>
    <row r="23" spans="1:10" x14ac:dyDescent="0.3">
      <c r="A23" s="92"/>
    </row>
    <row r="24" spans="1:10" x14ac:dyDescent="0.3">
      <c r="A24" s="92"/>
    </row>
    <row r="25" spans="1:10" x14ac:dyDescent="0.3">
      <c r="A25" s="9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workbookViewId="0">
      <selection activeCell="J8" sqref="J8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89" customFormat="1" x14ac:dyDescent="0.3">
      <c r="A1" s="89" t="s">
        <v>223</v>
      </c>
      <c r="B1" s="89" t="s">
        <v>19</v>
      </c>
      <c r="C1" s="89" t="s">
        <v>62</v>
      </c>
      <c r="D1" s="89" t="s">
        <v>127</v>
      </c>
      <c r="E1" s="89" t="s">
        <v>222</v>
      </c>
      <c r="I1" s="8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89" t="s">
        <v>219</v>
      </c>
      <c r="J2" s="8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  <c r="J6" s="65">
        <f>COUNTIF(D2:D11,"&gt;500")</f>
        <v>4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  <c r="J7" s="65">
        <f>COUNTIF(D2:D11,"&lt;400")</f>
        <v>3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33" t="s">
        <v>224</v>
      </c>
      <c r="B24" s="134"/>
      <c r="C24" s="134"/>
      <c r="D24" s="134"/>
      <c r="E24" s="134"/>
      <c r="F24" s="134"/>
      <c r="G24" s="134"/>
      <c r="H24" s="134"/>
      <c r="I24" s="134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K25"/>
  <sheetViews>
    <sheetView workbookViewId="0">
      <selection activeCell="J7" sqref="J7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1" x14ac:dyDescent="0.3">
      <c r="A1" s="88" t="s">
        <v>225</v>
      </c>
      <c r="B1" s="88" t="s">
        <v>226</v>
      </c>
      <c r="C1" s="88" t="s">
        <v>42</v>
      </c>
      <c r="D1" s="88" t="s">
        <v>227</v>
      </c>
      <c r="E1" s="88" t="s">
        <v>228</v>
      </c>
      <c r="F1" s="88" t="s">
        <v>229</v>
      </c>
      <c r="I1" s="88" t="s">
        <v>219</v>
      </c>
      <c r="J1" s="88" t="s">
        <v>230</v>
      </c>
    </row>
    <row r="2" spans="1:11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1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  <c r="J3" s="65" t="str">
        <f>VLOOKUP(A7,A2:F11,3,0)</f>
        <v>Marketing</v>
      </c>
      <c r="K3" s="65" t="str">
        <f>VLOOKUP(106,A2:F11,3,0)</f>
        <v>Marketing</v>
      </c>
    </row>
    <row r="4" spans="1:11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  <c r="J4" s="65">
        <f>VLOOKUP(102,A2:F11,5,0)</f>
        <v>72000</v>
      </c>
    </row>
    <row r="5" spans="1:11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  <c r="J5" s="65">
        <f>VLOOKUP(109,A2:F11,6,0)</f>
        <v>0.1</v>
      </c>
    </row>
    <row r="6" spans="1:11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  <c r="J6" s="65" t="str">
        <f>VLOOKUP(101,A2:F11,4,0)</f>
        <v>New York</v>
      </c>
    </row>
    <row r="7" spans="1:11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</row>
    <row r="8" spans="1:11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</row>
    <row r="9" spans="1:11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</row>
    <row r="10" spans="1:11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</row>
    <row r="11" spans="1:11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</row>
    <row r="12" spans="1:11" x14ac:dyDescent="0.3">
      <c r="I12" s="65" t="s">
        <v>256</v>
      </c>
    </row>
    <row r="13" spans="1:11" x14ac:dyDescent="0.3">
      <c r="I13" s="65" t="s">
        <v>257</v>
      </c>
    </row>
    <row r="14" spans="1:11" x14ac:dyDescent="0.3">
      <c r="I14" s="65" t="s">
        <v>258</v>
      </c>
    </row>
    <row r="15" spans="1:11" x14ac:dyDescent="0.3">
      <c r="I15" s="65" t="s">
        <v>259</v>
      </c>
    </row>
    <row r="16" spans="1:11" x14ac:dyDescent="0.3">
      <c r="I16" s="65" t="s">
        <v>260</v>
      </c>
    </row>
    <row r="17" spans="1:9" x14ac:dyDescent="0.3">
      <c r="I17" s="65" t="s">
        <v>261</v>
      </c>
    </row>
    <row r="18" spans="1:9" x14ac:dyDescent="0.3">
      <c r="I18" s="65" t="s">
        <v>262</v>
      </c>
    </row>
    <row r="19" spans="1:9" x14ac:dyDescent="0.3">
      <c r="I19" s="65" t="s">
        <v>263</v>
      </c>
    </row>
    <row r="20" spans="1:9" x14ac:dyDescent="0.3">
      <c r="I20" s="65" t="s">
        <v>264</v>
      </c>
    </row>
    <row r="21" spans="1:9" x14ac:dyDescent="0.3">
      <c r="I21" s="65" t="s">
        <v>265</v>
      </c>
    </row>
    <row r="25" spans="1:9" x14ac:dyDescent="0.3">
      <c r="A25" s="133" t="s">
        <v>266</v>
      </c>
      <c r="B25" s="134"/>
      <c r="C25" s="134"/>
      <c r="D25" s="134"/>
      <c r="E25" s="134"/>
      <c r="F25" s="134"/>
      <c r="G25" s="134"/>
      <c r="H25" s="134"/>
      <c r="I25" s="134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K24"/>
  <sheetViews>
    <sheetView workbookViewId="0">
      <selection activeCell="I15" sqref="I15"/>
    </sheetView>
  </sheetViews>
  <sheetFormatPr defaultColWidth="11.6640625" defaultRowHeight="13.8" x14ac:dyDescent="0.3"/>
  <cols>
    <col min="1" max="1" width="19.88671875" style="65" bestFit="1" customWidth="1"/>
    <col min="2" max="2" width="9.6640625" style="65" bestFit="1" customWidth="1"/>
    <col min="3" max="3" width="9" style="65" bestFit="1" customWidth="1"/>
    <col min="4" max="5" width="9.6640625" style="65" bestFit="1" customWidth="1"/>
    <col min="6" max="6" width="9.77734375" style="65" bestFit="1" customWidth="1"/>
    <col min="7" max="7" width="9" style="65" bestFit="1" customWidth="1"/>
    <col min="8" max="8" width="8.88671875" style="65" bestFit="1" customWidth="1"/>
    <col min="9" max="9" width="37.109375" style="65" bestFit="1" customWidth="1"/>
    <col min="10" max="10" width="9.33203125" style="65" bestFit="1" customWidth="1"/>
    <col min="11" max="11" width="9.21875" style="65" bestFit="1" customWidth="1"/>
    <col min="12" max="16384" width="11.6640625" style="65"/>
  </cols>
  <sheetData>
    <row r="1" spans="1:11" x14ac:dyDescent="0.3">
      <c r="A1" s="88" t="s">
        <v>267</v>
      </c>
      <c r="B1" s="88" t="s">
        <v>268</v>
      </c>
      <c r="C1" s="88" t="s">
        <v>269</v>
      </c>
      <c r="D1" s="88" t="s">
        <v>270</v>
      </c>
      <c r="E1" s="88" t="s">
        <v>271</v>
      </c>
      <c r="F1" s="88" t="s">
        <v>272</v>
      </c>
      <c r="G1" s="88" t="s">
        <v>273</v>
      </c>
      <c r="H1" s="88" t="s">
        <v>274</v>
      </c>
      <c r="I1" s="88" t="s">
        <v>275</v>
      </c>
      <c r="J1" s="88" t="s">
        <v>276</v>
      </c>
      <c r="K1" s="88" t="s">
        <v>277</v>
      </c>
    </row>
    <row r="2" spans="1:11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1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1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1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1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1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12" spans="1:11" x14ac:dyDescent="0.3">
      <c r="D12" s="135" t="s">
        <v>278</v>
      </c>
      <c r="E12" s="135"/>
      <c r="F12" s="135"/>
      <c r="G12" s="135"/>
      <c r="H12" s="135"/>
      <c r="I12" s="65" t="str">
        <f>HLOOKUP(104, B2:K6, 2, FALSE)</f>
        <v>David Chen</v>
      </c>
    </row>
    <row r="13" spans="1:11" x14ac:dyDescent="0.3">
      <c r="D13" s="135" t="s">
        <v>279</v>
      </c>
      <c r="E13" s="135"/>
      <c r="F13" s="135"/>
      <c r="G13" s="135"/>
      <c r="H13" s="135"/>
      <c r="I13" s="65" t="str">
        <f>HLOOKUP(106,B2:K7,3,0)</f>
        <v>Marketing</v>
      </c>
    </row>
    <row r="14" spans="1:11" x14ac:dyDescent="0.3">
      <c r="D14" s="135" t="s">
        <v>280</v>
      </c>
      <c r="E14" s="135"/>
      <c r="F14" s="135"/>
      <c r="G14" s="135"/>
      <c r="H14" s="135"/>
      <c r="I14" s="65">
        <f>HLOOKUP(102,B2:K7,5,0)</f>
        <v>72000</v>
      </c>
    </row>
    <row r="15" spans="1:11" x14ac:dyDescent="0.3">
      <c r="D15" s="135" t="s">
        <v>281</v>
      </c>
      <c r="E15" s="135"/>
      <c r="F15" s="135"/>
      <c r="G15" s="135"/>
      <c r="H15" s="135"/>
      <c r="I15" s="65">
        <v>0</v>
      </c>
    </row>
    <row r="16" spans="1:11" x14ac:dyDescent="0.3">
      <c r="D16" s="135" t="s">
        <v>282</v>
      </c>
      <c r="E16" s="135"/>
      <c r="F16" s="135"/>
      <c r="G16" s="135"/>
      <c r="H16" s="135"/>
      <c r="I16" s="65">
        <v>0</v>
      </c>
    </row>
    <row r="17" spans="1:9" x14ac:dyDescent="0.3">
      <c r="D17" s="135" t="s">
        <v>283</v>
      </c>
      <c r="E17" s="135"/>
      <c r="F17" s="135"/>
      <c r="G17" s="135"/>
      <c r="H17" s="135"/>
      <c r="I17" s="65">
        <v>0</v>
      </c>
    </row>
    <row r="18" spans="1:9" x14ac:dyDescent="0.3">
      <c r="D18" s="135" t="s">
        <v>284</v>
      </c>
      <c r="E18" s="135"/>
      <c r="F18" s="135"/>
      <c r="G18" s="135"/>
      <c r="H18" s="135"/>
      <c r="I18" s="65">
        <v>0</v>
      </c>
    </row>
    <row r="19" spans="1:9" x14ac:dyDescent="0.3">
      <c r="D19" s="135" t="s">
        <v>285</v>
      </c>
      <c r="E19" s="135"/>
      <c r="F19" s="135"/>
      <c r="G19" s="135"/>
      <c r="H19" s="135"/>
      <c r="I19" s="65" t="s">
        <v>286</v>
      </c>
    </row>
    <row r="20" spans="1:9" x14ac:dyDescent="0.3">
      <c r="D20" s="135" t="s">
        <v>287</v>
      </c>
      <c r="E20" s="135"/>
      <c r="F20" s="135"/>
      <c r="G20" s="135"/>
      <c r="H20" s="135"/>
      <c r="I20" s="65">
        <v>0</v>
      </c>
    </row>
    <row r="21" spans="1:9" x14ac:dyDescent="0.3">
      <c r="D21" s="135" t="s">
        <v>288</v>
      </c>
      <c r="E21" s="135"/>
      <c r="F21" s="135"/>
      <c r="G21" s="135"/>
      <c r="H21" s="135"/>
      <c r="I21" s="65">
        <v>0</v>
      </c>
    </row>
    <row r="24" spans="1:9" x14ac:dyDescent="0.3">
      <c r="A24" s="133" t="s">
        <v>289</v>
      </c>
      <c r="B24" s="134"/>
      <c r="C24" s="134"/>
      <c r="D24" s="134"/>
      <c r="E24" s="134"/>
      <c r="F24" s="134"/>
      <c r="G24" s="134"/>
      <c r="H24" s="134"/>
      <c r="I24" s="134"/>
    </row>
  </sheetData>
  <mergeCells count="11">
    <mergeCell ref="A24:I24"/>
    <mergeCell ref="D12:H12"/>
    <mergeCell ref="D13:H13"/>
    <mergeCell ref="D14:H14"/>
    <mergeCell ref="D15:H15"/>
    <mergeCell ref="D16:H16"/>
    <mergeCell ref="D17:H17"/>
    <mergeCell ref="D18:H18"/>
    <mergeCell ref="D19:H19"/>
    <mergeCell ref="D20:H20"/>
    <mergeCell ref="D21:H21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tabSelected="1" workbookViewId="0">
      <selection activeCell="K6" sqref="K6"/>
    </sheetView>
  </sheetViews>
  <sheetFormatPr defaultRowHeight="13.8" x14ac:dyDescent="0.3"/>
  <cols>
    <col min="1" max="1" width="37.109375" style="65" bestFit="1" customWidth="1"/>
    <col min="2" max="2" width="12.21875" style="65" bestFit="1" customWidth="1"/>
    <col min="3" max="3" width="9.3320312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89" customFormat="1" x14ac:dyDescent="0.3">
      <c r="A1" s="89" t="s">
        <v>91</v>
      </c>
      <c r="B1" s="89" t="s">
        <v>92</v>
      </c>
      <c r="C1" s="89" t="s">
        <v>77</v>
      </c>
      <c r="D1" s="89" t="s">
        <v>19</v>
      </c>
      <c r="E1" s="8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89" customFormat="1" x14ac:dyDescent="0.3">
      <c r="A8" s="89" t="s">
        <v>294</v>
      </c>
    </row>
    <row r="9" spans="1:5" s="89" customFormat="1" x14ac:dyDescent="0.3">
      <c r="A9" s="89" t="s">
        <v>219</v>
      </c>
      <c r="B9" s="89" t="s">
        <v>218</v>
      </c>
      <c r="C9" s="8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B12" s="65" t="str">
        <f>INDEX(C2:C6,MATCH("Monitor",B2:B6,))</f>
        <v>Electronics</v>
      </c>
      <c r="C12" s="65" t="s">
        <v>23</v>
      </c>
    </row>
    <row r="13" spans="1:5" x14ac:dyDescent="0.3">
      <c r="A13" s="65" t="s">
        <v>298</v>
      </c>
      <c r="C13" s="65">
        <v>5000</v>
      </c>
    </row>
    <row r="14" spans="1:5" x14ac:dyDescent="0.3">
      <c r="A14" s="65" t="s">
        <v>299</v>
      </c>
      <c r="C14" s="65" t="s">
        <v>291</v>
      </c>
    </row>
    <row r="15" spans="1:5" x14ac:dyDescent="0.3">
      <c r="A15" s="65" t="s">
        <v>300</v>
      </c>
      <c r="C15" s="65" t="s">
        <v>26</v>
      </c>
    </row>
    <row r="16" spans="1:5" x14ac:dyDescent="0.3">
      <c r="A16" s="65" t="s">
        <v>301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33" t="s">
        <v>305</v>
      </c>
      <c r="B23" s="134"/>
      <c r="C23" s="134"/>
      <c r="D23" s="134"/>
      <c r="E23" s="134"/>
      <c r="F23" s="134"/>
      <c r="G23" s="134"/>
      <c r="H23" s="134"/>
      <c r="I23" s="134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SUMIF,AVGIF</vt:lpstr>
      <vt:lpstr>COUNTIF,IFs</vt:lpstr>
      <vt:lpstr>V,HLOOKUP</vt:lpstr>
      <vt:lpstr>X,INDEX,MATCH</vt:lpstr>
      <vt:lpstr>Practice SUMIF</vt:lpstr>
      <vt:lpstr>COUNTIF</vt:lpstr>
      <vt:lpstr>VLOOKUP</vt:lpstr>
      <vt:lpstr>HLOOKUP</vt:lpstr>
      <vt:lpstr>INDEXMATCH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2026-04-25T05:52:53Z</dcterms:modified>
</cp:coreProperties>
</file>