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53" documentId="11_F25DC773A252ABDACC1048BD89DC52D45ADE58EF" xr6:coauthVersionLast="47" xr6:coauthVersionMax="47" xr10:uidLastSave="{91048442-4521-4952-A089-A7E54E868F67}"/>
  <bookViews>
    <workbookView xWindow="-108" yWindow="-108" windowWidth="23256" windowHeight="12456" firstSheet="2" activeTab="5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1" i="7" l="1"/>
  <c r="J20" i="7"/>
  <c r="J19" i="7"/>
  <c r="J18" i="7"/>
  <c r="J17" i="7"/>
  <c r="J16" i="7"/>
  <c r="J15" i="7" a="1"/>
  <c r="J15" i="7" s="1"/>
  <c r="J14" i="7"/>
  <c r="J13" i="7"/>
  <c r="J12" i="7"/>
  <c r="J11" i="7"/>
  <c r="J10" i="7"/>
  <c r="J9" i="7"/>
  <c r="J8" i="7"/>
  <c r="J7" i="7"/>
  <c r="Q21" i="8"/>
  <c r="Q20" i="8"/>
  <c r="Q19" i="8"/>
  <c r="Q18" i="8"/>
  <c r="B16" i="9"/>
  <c r="B15" i="9"/>
  <c r="B14" i="9"/>
  <c r="B13" i="9"/>
  <c r="B12" i="9"/>
  <c r="Q17" i="8"/>
  <c r="Q16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Q15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<sst xmlns="http://schemas.openxmlformats.org/spreadsheetml/2006/main" count="635" uniqueCount="306">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</sst>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7" t="s">
        <v>18</v>
      </c>
      <c r="B1" s="98"/>
      <c r="C1" s="98"/>
      <c r="D1" s="98"/>
      <c r="E1" s="98"/>
      <c r="F1" s="98"/>
      <c r="G1" s="9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7" t="s">
        <v>18</v>
      </c>
      <c r="B16" s="98"/>
      <c r="C16" s="98"/>
      <c r="D16" s="98"/>
      <c r="E16" s="98"/>
      <c r="F16" s="109"/>
      <c r="G16" s="10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10" t="s">
        <v>70</v>
      </c>
      <c r="I18" s="11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10" t="s">
        <v>71</v>
      </c>
      <c r="I19" s="11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0" t="s">
        <v>60</v>
      </c>
      <c r="B31" s="101"/>
      <c r="C31" s="101"/>
      <c r="D31" s="101"/>
      <c r="E31" s="101"/>
      <c r="F31" s="101"/>
      <c r="G31" s="101"/>
      <c r="H31" s="10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2"/>
      <c r="G32" s="113"/>
      <c r="H32" s="11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3" t="s">
        <v>69</v>
      </c>
      <c r="G33" s="104"/>
      <c r="H33" s="105"/>
      <c r="I33" s="115" t="s">
        <v>72</v>
      </c>
      <c r="J33" s="11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6" t="s">
        <v>73</v>
      </c>
      <c r="G34" s="107"/>
      <c r="H34" s="108"/>
      <c r="I34" s="118" t="s">
        <v>74</v>
      </c>
      <c r="J34" s="11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6"/>
      <c r="G35" s="96"/>
      <c r="H35" s="96"/>
      <c r="I35" s="119"/>
      <c r="J35" s="11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6"/>
      <c r="G36" s="96"/>
      <c r="H36" s="96"/>
      <c r="I36" s="116"/>
      <c r="J36" s="11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6"/>
      <c r="G37" s="96"/>
      <c r="H37" s="96"/>
      <c r="I37" s="116"/>
      <c r="J37" s="11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6"/>
      <c r="G38" s="96"/>
      <c r="H38" s="96"/>
      <c r="I38" s="116"/>
      <c r="J38" s="11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6"/>
      <c r="G39" s="96"/>
      <c r="H39" s="96"/>
      <c r="I39" s="116"/>
      <c r="J39" s="11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6"/>
      <c r="G40" s="96"/>
      <c r="H40" s="96"/>
      <c r="I40" s="116"/>
      <c r="J40" s="11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6"/>
      <c r="G41" s="96"/>
      <c r="H41" s="96"/>
      <c r="I41" s="116"/>
      <c r="J41" s="11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6"/>
      <c r="G42" s="96"/>
      <c r="H42" s="96"/>
      <c r="I42" s="116"/>
      <c r="J42" s="11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6"/>
      <c r="G43" s="96"/>
      <c r="H43" s="96"/>
      <c r="I43" s="116"/>
      <c r="J43" s="11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6"/>
      <c r="G44" s="96"/>
      <c r="H44" s="96"/>
      <c r="I44" s="116"/>
      <c r="J44" s="11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6"/>
      <c r="G45" s="96"/>
      <c r="H45" s="96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6"/>
      <c r="G46" s="96"/>
      <c r="H46" s="96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6"/>
      <c r="G47" s="96"/>
      <c r="H47" s="96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6"/>
      <c r="G48" s="96"/>
      <c r="H48" s="96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6"/>
      <c r="G49" s="96"/>
      <c r="H49" s="96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6"/>
      <c r="G50" s="96"/>
      <c r="H50" s="96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6"/>
      <c r="G51" s="96"/>
      <c r="H51" s="96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L20" sqref="L20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tabSelected="1" workbookViewId="0">
      <selection activeCell="J20" sqref="J20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21" sqref="J21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  <c r="J7" s="65">
        <f>VLOOKUP(110,A2:F11,5,0)</f>
        <v>85000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  <c r="J8" s="65" t="str">
        <f>VLOOKUP(103,A2:F11,3,0)</f>
        <v>IT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  <c r="J9" s="65" t="str">
        <f>INDEX(B2:B11,MATCH(62000,E2:E11,0))</f>
        <v>Emily Davis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  <c r="J10" s="65">
        <f>VLOOKUP(105,A2:F11,5,0)*(1+VLOOKUP(105,A2:F11,6,0))</f>
        <v>68820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  <c r="J11" s="65" t="str">
        <f>VLOOKUP(107,A2:F11,4,0)</f>
        <v>San Diego</v>
      </c>
    </row>
    <row r="12" spans="1:11" x14ac:dyDescent="0.3">
      <c r="I12" s="65" t="s">
        <v>256</v>
      </c>
      <c r="J12" s="65">
        <f>VLOOKUP(102,A2:F11,5,0)*VLOOKUP(102,A2:F11,6,0)</f>
        <v>8640</v>
      </c>
    </row>
    <row r="13" spans="1:11" x14ac:dyDescent="0.3">
      <c r="I13" s="65" t="s">
        <v>257</v>
      </c>
      <c r="J13" s="65" t="str">
        <f>VLOOKUP(108,A2:F11,3,0)</f>
        <v>HR</v>
      </c>
    </row>
    <row r="14" spans="1:11" x14ac:dyDescent="0.3">
      <c r="I14" s="65" t="s">
        <v>258</v>
      </c>
      <c r="J14" s="65" t="str">
        <f>VLOOKUP(109,A2:F11,2,0)</f>
        <v>Irene Scott</v>
      </c>
    </row>
    <row r="15" spans="1:11" x14ac:dyDescent="0.3">
      <c r="I15" s="65" t="s">
        <v>259</v>
      </c>
      <c r="J15" s="65" cm="1">
        <f t="array" ref="J15">INDEX(E2:E11,MATCH(1,(C2:C11="Finance")*(D2:D11="Boston"),0))</f>
        <v>68000</v>
      </c>
    </row>
    <row r="16" spans="1:11" x14ac:dyDescent="0.3">
      <c r="I16" s="65" t="s">
        <v>260</v>
      </c>
      <c r="J16" s="65" t="str">
        <f>VLOOKUP(101,A2:F11,3,0)</f>
        <v>Finance</v>
      </c>
    </row>
    <row r="17" spans="1:10" x14ac:dyDescent="0.3">
      <c r="I17" s="65" t="s">
        <v>261</v>
      </c>
      <c r="J17" s="65">
        <f>VLOOKUP(110,A2:F11,6,0)</f>
        <v>0.12</v>
      </c>
    </row>
    <row r="18" spans="1:10" x14ac:dyDescent="0.3">
      <c r="I18" s="65" t="s">
        <v>262</v>
      </c>
      <c r="J18" s="65">
        <f>VLOOKUP(103,A2:F11,5,0)*1.05</f>
        <v>84000</v>
      </c>
    </row>
    <row r="19" spans="1:10" x14ac:dyDescent="0.3">
      <c r="I19" s="65" t="s">
        <v>263</v>
      </c>
      <c r="J19" s="65" t="str">
        <f>VLOOKUP(105,A2:F11,4,0)</f>
        <v>Chicago</v>
      </c>
    </row>
    <row r="20" spans="1:10" x14ac:dyDescent="0.3">
      <c r="I20" s="65" t="s">
        <v>264</v>
      </c>
      <c r="J20" s="65" t="str">
        <f>VLOOKUP(106,A2:F11,2,0)</f>
        <v>Frank Lee</v>
      </c>
    </row>
    <row r="21" spans="1:10" x14ac:dyDescent="0.3">
      <c r="I21" s="65" t="s">
        <v>265</v>
      </c>
      <c r="J21" s="65">
        <f>VLOOKUP(107,A2:F11,5)*(1+(VLOOKUP(107,A2:F11,6,0)))</f>
        <v>87740</v>
      </c>
    </row>
    <row r="25" spans="1:10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Q24"/>
  <sheetViews>
    <sheetView workbookViewId="0">
      <selection activeCell="Q21" sqref="Q21"/>
    </sheetView>
  </sheetViews>
  <sheetFormatPr defaultColWidth="10.33203125" defaultRowHeight="13.8" x14ac:dyDescent="0.3"/>
  <cols>
    <col min="1" max="1" width="12.21875" style="65" customWidth="1"/>
    <col min="2" max="11" width="11" style="65" customWidth="1"/>
    <col min="12" max="16384" width="10.33203125" style="65"/>
  </cols>
  <sheetData>
    <row r="1" spans="1:17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7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7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7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7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7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7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5" spans="1:17" x14ac:dyDescent="0.3">
      <c r="L15" s="135" t="s">
        <v>278</v>
      </c>
      <c r="M15" s="135"/>
      <c r="N15" s="135"/>
      <c r="O15" s="135"/>
      <c r="P15" s="135"/>
      <c r="Q15" s="65" t="str">
        <f>HLOOKUP(104, B2:K6, 2, FALSE)</f>
        <v>David Chen</v>
      </c>
    </row>
    <row r="16" spans="1:17" x14ac:dyDescent="0.3">
      <c r="L16" s="135" t="s">
        <v>279</v>
      </c>
      <c r="M16" s="135"/>
      <c r="N16" s="135"/>
      <c r="O16" s="135"/>
      <c r="P16" s="135"/>
      <c r="Q16" s="65" t="str">
        <f>HLOOKUP(106,B2:K7,3,0)</f>
        <v>Marketing</v>
      </c>
    </row>
    <row r="17" spans="1:17" x14ac:dyDescent="0.3">
      <c r="L17" s="135" t="s">
        <v>280</v>
      </c>
      <c r="M17" s="135"/>
      <c r="N17" s="135"/>
      <c r="O17" s="135"/>
      <c r="P17" s="135"/>
      <c r="Q17" s="65">
        <f>HLOOKUP(102,B2:K7,5,0)</f>
        <v>72000</v>
      </c>
    </row>
    <row r="18" spans="1:17" x14ac:dyDescent="0.3">
      <c r="L18" s="135" t="s">
        <v>281</v>
      </c>
      <c r="M18" s="135"/>
      <c r="N18" s="135"/>
      <c r="O18" s="135"/>
      <c r="P18" s="135"/>
      <c r="Q18" s="65">
        <f>HLOOKUP(109,B2:K7,6,0)</f>
        <v>0.1</v>
      </c>
    </row>
    <row r="19" spans="1:17" x14ac:dyDescent="0.3">
      <c r="L19" s="135" t="s">
        <v>282</v>
      </c>
      <c r="M19" s="135"/>
      <c r="N19" s="135"/>
      <c r="O19" s="135"/>
      <c r="P19" s="135"/>
      <c r="Q19" s="65" t="str">
        <f>HLOOKUP(101,B2:K7,4,0)</f>
        <v>New York</v>
      </c>
    </row>
    <row r="20" spans="1:17" x14ac:dyDescent="0.3">
      <c r="L20" s="135" t="s">
        <v>283</v>
      </c>
      <c r="M20" s="135"/>
      <c r="N20" s="135"/>
      <c r="O20" s="135"/>
      <c r="P20" s="135"/>
      <c r="Q20" s="65">
        <f>HLOOKUP(110,A2:K7,5,0)</f>
        <v>85000</v>
      </c>
    </row>
    <row r="21" spans="1:17" x14ac:dyDescent="0.3">
      <c r="L21" s="135" t="s">
        <v>284</v>
      </c>
      <c r="M21" s="135"/>
      <c r="N21" s="135"/>
      <c r="O21" s="135"/>
      <c r="P21" s="135"/>
      <c r="Q21" s="65" t="str">
        <f>HLOOKUP(103,B2:K7,3,0)</f>
        <v>IT</v>
      </c>
    </row>
    <row r="22" spans="1:17" x14ac:dyDescent="0.3">
      <c r="L22" s="135" t="s">
        <v>285</v>
      </c>
      <c r="M22" s="135"/>
      <c r="N22" s="135"/>
      <c r="O22" s="135"/>
      <c r="P22" s="135"/>
      <c r="Q22" s="65" t="s">
        <v>286</v>
      </c>
    </row>
    <row r="23" spans="1:17" x14ac:dyDescent="0.3">
      <c r="L23" s="135" t="s">
        <v>287</v>
      </c>
      <c r="M23" s="135"/>
      <c r="N23" s="135"/>
      <c r="O23" s="135"/>
      <c r="P23" s="135"/>
      <c r="Q23" s="65">
        <v>0</v>
      </c>
    </row>
    <row r="24" spans="1:17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  <c r="L24" s="135" t="s">
        <v>288</v>
      </c>
      <c r="M24" s="135"/>
      <c r="N24" s="135"/>
      <c r="O24" s="135"/>
      <c r="P24" s="135"/>
      <c r="Q24" s="65">
        <v>0</v>
      </c>
    </row>
  </sheetData>
  <mergeCells count="11">
    <mergeCell ref="A24:I2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B16" sqref="B16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INDEX(C2:C6,MATCH("Monitor",B2:B6,0))</f>
        <v>Electronics</v>
      </c>
      <c r="C12" s="65" t="s">
        <v>23</v>
      </c>
    </row>
    <row r="13" spans="1:5" x14ac:dyDescent="0.3">
      <c r="A13" s="65" t="s">
        <v>298</v>
      </c>
      <c r="B13" s="65">
        <f>INDEX(E2:E6,MATCH(101,A2:A6,0))</f>
        <v>5000</v>
      </c>
      <c r="C13" s="65">
        <v>5000</v>
      </c>
    </row>
    <row r="14" spans="1:5" x14ac:dyDescent="0.3">
      <c r="A14" s="65" t="s">
        <v>299</v>
      </c>
      <c r="B14" s="65" t="str">
        <f>INDEX(B2:B6,MATCH("East",D2:D6,0))</f>
        <v>Chair</v>
      </c>
      <c r="C14" s="65" t="s">
        <v>291</v>
      </c>
    </row>
    <row r="15" spans="1:5" x14ac:dyDescent="0.3">
      <c r="A15" s="65" t="s">
        <v>300</v>
      </c>
      <c r="B15" s="65" t="str">
        <f>INDEX(D2:D6,MATCH("Chair",B2:B6,0))</f>
        <v>East</v>
      </c>
      <c r="C15" s="65" t="s">
        <v>26</v>
      </c>
    </row>
    <row r="16" spans="1:5" x14ac:dyDescent="0.3">
      <c r="A16" s="65" t="s">
        <v>301</v>
      </c>
      <c r="B16" s="65">
        <f>INDEX(E2:E6,MATCH(105,A2:A6,0))</f>
        <v>4000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2026-04-25T09:16:24Z</dcterms:modified>
</cp:coreProperties>
</file>