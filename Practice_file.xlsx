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330" documentId="11_F25DC773A252ABDACC1048BD89DC52D45ADE58EF" xr6:coauthVersionLast="47" xr6:coauthVersionMax="47" xr10:uidLastSave="{BF570768-13B8-4F89-9332-554FF5D17C10}"/>
  <bookViews>
    <workbookView xWindow="-108" yWindow="-108" windowWidth="23256" windowHeight="12456" firstSheet="4" activeTab="11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AVGIF" sheetId="12" r:id="rId6"/>
    <sheet name="COUNTIF" sheetId="6" r:id="rId7"/>
    <sheet name="VLOOKUP" sheetId="7" r:id="rId8"/>
    <sheet name="HLOOKUP" sheetId="8" r:id="rId9"/>
    <sheet name="INDEXMATCH" sheetId="9" r:id="rId10"/>
    <sheet name="Practice1" sheetId="13" r:id="rId11"/>
    <sheet name="Practice2" sheetId="14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4" l="1"/>
  <c r="I2" i="13"/>
  <c r="I4" i="13"/>
  <c r="I3" i="13"/>
  <c r="D2" i="12"/>
  <c r="J9" i="6"/>
  <c r="J8" i="6"/>
  <c r="J21" i="7"/>
  <c r="J20" i="7"/>
  <c r="J19" i="7"/>
  <c r="J18" i="7"/>
  <c r="J17" i="7"/>
  <c r="J16" i="7"/>
  <c r="J15" i="7" a="1"/>
  <c r="J15" i="7" s="1"/>
  <c r="J14" i="7"/>
  <c r="J13" i="7"/>
  <c r="J12" i="7"/>
  <c r="J11" i="7"/>
  <c r="J10" i="7"/>
  <c r="J9" i="7"/>
  <c r="J8" i="7"/>
  <c r="J7" i="7"/>
  <c r="Q21" i="8"/>
  <c r="Q20" i="8"/>
  <c r="Q19" i="8"/>
  <c r="Q18" i="8"/>
  <c r="B16" i="9"/>
  <c r="B15" i="9"/>
  <c r="B14" i="9"/>
  <c r="B13" i="9"/>
  <c r="B12" i="9"/>
  <c r="Q17" i="8"/>
  <c r="Q16" i="8"/>
  <c r="J6" i="7"/>
  <c r="J5" i="7"/>
  <c r="J4" i="7"/>
  <c r="K3" i="7"/>
  <c r="J3" i="7"/>
  <c r="J7" i="6"/>
  <c r="J6" i="6"/>
  <c r="K13" i="5"/>
  <c r="K12" i="5"/>
  <c r="K9" i="5"/>
  <c r="K7" i="5"/>
  <c r="K11" i="5"/>
  <c r="K10" i="5"/>
  <c r="K8" i="5"/>
  <c r="K6" i="5"/>
  <c r="K5" i="5"/>
  <c r="K4" i="5"/>
  <c r="K3" i="5"/>
  <c r="B11" i="9"/>
  <c r="B10" i="9"/>
  <c r="Q15" i="8"/>
  <c r="J2" i="7"/>
  <c r="J3" i="6"/>
  <c r="J4" i="6"/>
  <c r="J5" i="6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<sst xmlns="http://schemas.openxmlformats.org/spreadsheetml/2006/main" count="1130" uniqueCount="608">
  <si>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</si>
  <si>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</si>
  <si>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</si>
  <si>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</si>
  <si>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</si>
  <si>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</si>
  <si>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</si>
  <si>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</si>
  <si>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</si>
  <si>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</si>
  <si>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</si>
  <si>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</si>
  <si>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</si>
  <si>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</si>
  <si>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</si>
  <si>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</si>
  <si>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</si>
  <si>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</si>
  <si>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</si>
  <si>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</si>
  <si>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</si>
  <si>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</si>
  <si>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</si>
  <si>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</si>
  <si>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</si>
  <si>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</si>
  <si>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</si>
  <si>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</si>
  <si>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</si>
  <si>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</si>
  <si>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</si>
  <si>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</si>
  <si>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</si>
  <si>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</si>
  <si>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</si>
  <si>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</si>
  <si>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</si>
  <si>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</si>
  <si>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</si>
  <si>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</si>
  <si>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</si>
  <si>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</si>
  <si>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</si>
  <si>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</si>
  <si>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</si>
  <si>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</si>
  <si>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</si>
  <si>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</si>
  <si>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</si>
  <si>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</si>
  <si>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</si>
  <si>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</si>
  <si>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</si>
  <si>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</si>
  <si>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</si>
  <si>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</si>
  <si>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</si>
  <si>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</si>
  <si>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</si>
  <si>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</si>
  <si>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</si>
  <si>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</si>
  <si>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</si>
  <si>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</si>
  <si>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</si>
  <si>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</si>
  <si>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</si>
  <si>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</si>
  <si>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</si>
  <si>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</si>
  <si>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</si>
  <si>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</si>
  <si>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</si>
  <si>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</si>
  <si>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</si>
  <si>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</si>
  <si>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</si>
  <si>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</si>
  <si>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</si>
  <si>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</si>
  <si>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</si>
  <si>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</si>
  <si>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</si>
  <si>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</si>
  <si>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</si>
  <si>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</si>
  <si>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</si>
  <si>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</si>
  <si>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</si>
  <si>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</si>
  <si>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</si>
  <si>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</si>
  <si>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</si>
  <si>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</si>
  <si>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</si>
  <si>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</si>
  <si>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</si>
  <si>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</si>
  <si>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</si>
  <si>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</si>
  <si>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</si>
  <si>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</si>
  <si>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</si>
  <si>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</si>
  <si>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</si>
  <si>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</si>
  <si>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</si>
  <si>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</si>
  <si>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</si>
  <si>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</si>
  <si>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</si>
  <si>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</si>
  <si>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</si>
  <si>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</si>
  <si>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</si>
  <si>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</si>
  <si>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</si>
  <si>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</si>
  <si>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</si>
  <si>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</si>
  <si>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</si>
  <si>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</si>
  <si>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</si>
  <si>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</si>
  <si>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</si>
  <si>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</si>
  <si>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</si>
  <si>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</si>
  <si>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</si>
  <si>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</si>
  <si>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</si>
  <si>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</si>
  <si>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</si>
  <si>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</si>
  <si>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</si>
  <si>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</si>
  <si>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</si>
  <si>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</si>
  <si>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</si>
  <si>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</si>
  <si>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</si>
  <si>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</si>
  <si>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</si>
  <si>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</si>
  <si>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</si>
  <si>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</si>
  <si>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</si>
  <si>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</si>
  <si>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</si>
  <si>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</si>
  <si>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</si>
  <si>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</si>
  <si>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</si>
  <si>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</si>
  <si>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</si>
  <si>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</si>
  <si>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</si>
  <si>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</si>
  <si>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</si>
  <si>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</si>
  <si>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</si>
  <si>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</si>
  <si>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</si>
  <si>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</si>
  <si>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</si>
  <si>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</si>
  <si>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</si>
  <si>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</si>
  <si>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</si>
  <si>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</si>
  <si>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</si>
  <si>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</si>
  <si>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</si>
  <si>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</si>
  <si>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</si>
  <si>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</si>
  <si>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</si>
  <si>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</si>
  <si>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</si>
  <si>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</si>
  <si>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</si>
  <si>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</si>
  <si>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</si>
  <si>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</si>
  <si>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</si>
  <si>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</si>
  <si>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</si>
  <si>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</si>
  <si>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</si>
  <si>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</si>
  <si>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</si>
  <si>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</si>
  <si>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</si>
  <si>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</si>
  <si>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</si>
  <si>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</si>
  <si>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</si>
  <si>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</si>
  <si>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</si>
  <si>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</si>
  <si>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</si>
  <si>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</si>
  <si>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</si>
  <si>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</si>
  <si>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</si>
  <si>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</si>
  <si>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</si>
  <si>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</si>
  <si>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</si>
  <si>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</si>
  <si>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</si>
  <si>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</si>
  <si>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</si>
  <si>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</si>
  <si>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</si>
  <si>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</si>
  <si>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</si>
  <si>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</si>
  <si>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</si>
  <si>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</si>
  <si>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</si>
  <si>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</si>
  <si>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</si>
  <si>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</si>
  <si>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</si>
  <si>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</si>
  <si>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</si>
  <si>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</si>
  <si>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</si>
  <si>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</si>
  <si>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</si>
  <si>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</si>
  <si>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</si>
  <si>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</si>
  <si>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</si>
  <si>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</si>
  <si>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</si>
  <si>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</si>
  <si>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</si>
  <si>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</si>
  <si>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</si>
  <si>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</si>
  <si>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</si>
  <si>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</si>
  <si>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</si>
  <si>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</si>
  <si>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</si>
  <si>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</si>
  <si>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</si>
  <si>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</si>
  <si>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</si>
  <si>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</si>
  <si>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</si>
  <si>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</si>
  <si>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</si>
  <si>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</si>
  <si>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</si>
  <si>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</si>
  <si>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</si>
  <si>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</si>
  <si>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</si>
  <si>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</si>
  <si>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</si>
  <si>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</si>
  <si>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</si>
  <si>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</si>
  <si>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</si>
  <si>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</si>
  <si>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</si>
  <si>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</si>
  <si>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</si>
  <si>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</si>
  <si>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</si>
  <si>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</si>
  <si>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</si>
  <si>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</si>
  <si>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</si>
  <si>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</si>
  <si>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</si>
  <si>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</si>
  <si>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</si>
  <si>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</si>
  <si>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</si>
  <si>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</si>
  <si>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</si>
  <si>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</si>
  <si>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</si>
  <si>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</si>
  <si>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</si>
  <si>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</si>
  <si>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</si>
  <si>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</si>
  <si>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</si>
  <si>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</si>
  <si>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</si>
  <si>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</si>
  <si>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</si>
  <si>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</si>
  <si>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</si>
  <si>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</si>
  <si>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</si>
  <si>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</si>
  <si>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</si>
  <si>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</si>
  <si>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</si>
  <si>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</si>
  <si>
    <t xml:space="preserve">Region </t>
  </si>
  <si>
    <t xml:space="preserve">Sales </t>
  </si>
  <si>
    <t>Employee ID</t>
  </si>
  <si>
    <t>Years at Company</t>
  </si>
  <si>
    <t>Amy Johnson</t>
  </si>
  <si>
    <t>Task1</t>
  </si>
  <si>
    <t>Christopher Craig</t>
  </si>
  <si>
    <t>CEO Office</t>
  </si>
  <si>
    <t>Task2</t>
  </si>
  <si>
    <t>Daniel Ellis</t>
  </si>
  <si>
    <t>Task3</t>
  </si>
  <si>
    <t>Luke Smith</t>
  </si>
  <si>
    <t>Michelle Herrera</t>
  </si>
  <si>
    <t>Data</t>
  </si>
  <si>
    <t>William Larson</t>
  </si>
  <si>
    <t>Christopher Carr</t>
  </si>
  <si>
    <t>Amanda Rodriguez</t>
  </si>
  <si>
    <t>Ryan Martinez</t>
  </si>
  <si>
    <t>Victoria Moran</t>
  </si>
  <si>
    <t>Tyler Cook</t>
  </si>
  <si>
    <t>Belinda Austin</t>
  </si>
  <si>
    <t>Barry Figueroa</t>
  </si>
  <si>
    <t>Taylor Schmidt</t>
  </si>
  <si>
    <t>Jennifer Brown</t>
  </si>
  <si>
    <t>Angel Adams</t>
  </si>
  <si>
    <t>Gabrielle Evans</t>
  </si>
  <si>
    <t>Ashley Hammond</t>
  </si>
  <si>
    <t>Anthony Miller</t>
  </si>
  <si>
    <t>Janet Nelson</t>
  </si>
  <si>
    <t>Michael Brady</t>
  </si>
  <si>
    <t>Theresa Tanner</t>
  </si>
  <si>
    <t>Denise Richards</t>
  </si>
  <si>
    <t>Jermaine Anderson</t>
  </si>
  <si>
    <t>John Roberts</t>
  </si>
  <si>
    <t>Victor Williams</t>
  </si>
  <si>
    <t>Paul Palmer</t>
  </si>
  <si>
    <t>Glenn Burch</t>
  </si>
  <si>
    <t>Carla Taylor</t>
  </si>
  <si>
    <t>William Harris</t>
  </si>
  <si>
    <t>Kelly Davis</t>
  </si>
  <si>
    <t>Sandra Johns DDS</t>
  </si>
  <si>
    <t>Katherine Howe</t>
  </si>
  <si>
    <t>Jamie Joyce</t>
  </si>
  <si>
    <t>Meredith Johnson</t>
  </si>
  <si>
    <t>Marisa May</t>
  </si>
  <si>
    <t>Morgan Wise</t>
  </si>
  <si>
    <t>Diana Munoz</t>
  </si>
  <si>
    <t>Bryce Blake</t>
  </si>
  <si>
    <t>Kevin Woods</t>
  </si>
  <si>
    <t>Richard Romero</t>
  </si>
  <si>
    <t>Kimberly Alexander</t>
  </si>
  <si>
    <t>Megan Barr</t>
  </si>
  <si>
    <t>Roberta Wilson</t>
  </si>
  <si>
    <t>Peggy Smith</t>
  </si>
  <si>
    <t>Lisa Torres</t>
  </si>
  <si>
    <t>Sheila Strong</t>
  </si>
  <si>
    <t>John Ramirez</t>
  </si>
  <si>
    <t>Ms. Karen Hurley MD</t>
  </si>
  <si>
    <t>Tina Miller</t>
  </si>
  <si>
    <t>Latoya Montgomery</t>
  </si>
  <si>
    <t>John Butler</t>
  </si>
  <si>
    <t>Cheryl Myers</t>
  </si>
  <si>
    <t>David Smith</t>
  </si>
  <si>
    <t>Lauren Thomas</t>
  </si>
  <si>
    <t>Michael Thompson</t>
  </si>
  <si>
    <t>Don Warren</t>
  </si>
  <si>
    <t>Megan Miller</t>
  </si>
  <si>
    <t>Carolyn Walker</t>
  </si>
  <si>
    <t>Bailey Jacobson</t>
  </si>
  <si>
    <t>Amber Benitez</t>
  </si>
  <si>
    <t>Paul Mullen</t>
  </si>
  <si>
    <t>Steven Peterson</t>
  </si>
  <si>
    <t>Barbara Hendricks</t>
  </si>
  <si>
    <t>Karen Fuentes</t>
  </si>
  <si>
    <t>Dana Johnson</t>
  </si>
  <si>
    <t>Misty Gould</t>
  </si>
  <si>
    <t>Ana Juarez</t>
  </si>
  <si>
    <t>Erin Tran</t>
  </si>
  <si>
    <t>Melissa Brown</t>
  </si>
  <si>
    <t>John Berry</t>
  </si>
  <si>
    <t>Ruth Sandoval</t>
  </si>
  <si>
    <t>Andrew Harrison</t>
  </si>
  <si>
    <t>Cesar Rowland</t>
  </si>
  <si>
    <t>Richard Murphy</t>
  </si>
  <si>
    <t>Craig Valdez</t>
  </si>
  <si>
    <t>Wesley Reyes</t>
  </si>
  <si>
    <t>Andrea Ford</t>
  </si>
  <si>
    <t>Steve Robles</t>
  </si>
  <si>
    <t>David Taylor</t>
  </si>
  <si>
    <t>Paige Navarro</t>
  </si>
  <si>
    <r>
      <t>Find the salary of "</t>
    </r>
    <r>
      <rPr>
        <b/>
        <sz val="10"/>
        <color theme="1" tint="4.9989318521683403E-2"/>
        <rFont val="Calibri"/>
        <family val="2"/>
        <scheme val="minor"/>
      </rPr>
      <t>Cesar Rowland</t>
    </r>
    <r>
      <rPr>
        <sz val="10"/>
        <color theme="1" tint="4.9989318521683403E-2"/>
        <rFont val="Calibri"/>
        <family val="2"/>
        <scheme val="minor"/>
      </rPr>
      <t>" If the employee is not found, return "Not Available."</t>
    </r>
  </si>
  <si>
    <r>
      <t>Calculate the total salary of employees who are older than 30 </t>
    </r>
    <r>
      <rPr>
        <b/>
        <sz val="11"/>
        <color theme="1"/>
        <rFont val="Calibri"/>
        <family val="2"/>
        <scheme val="minor"/>
      </rPr>
      <t>and</t>
    </r>
    <r>
      <rPr>
        <sz val="11"/>
        <color theme="1"/>
        <rFont val="Calibri"/>
        <family val="2"/>
        <scheme val="minor"/>
      </rPr>
      <t> have worked for more than 5 years.</t>
    </r>
  </si>
  <si>
    <t>Calculate the average salary of employees older than 30 if their salary is above the median salary of the entire dataset. If the condition is not met, return "N/A."</t>
  </si>
  <si>
    <t>Customer ID</t>
  </si>
  <si>
    <t>Unit Price</t>
  </si>
  <si>
    <t>Purchase Date</t>
  </si>
  <si>
    <t>C004</t>
  </si>
  <si>
    <t>Razer Blade Stealth</t>
  </si>
  <si>
    <t>3/26/2024</t>
  </si>
  <si>
    <t>C063</t>
  </si>
  <si>
    <t>Dyson Hair Dryer</t>
  </si>
  <si>
    <t>4/15/2024</t>
  </si>
  <si>
    <t>C041</t>
  </si>
  <si>
    <t>Amazon Echo Dot</t>
  </si>
  <si>
    <t>C031</t>
  </si>
  <si>
    <t>Logitech Wireless Mouse</t>
  </si>
  <si>
    <t>3/25/2024</t>
  </si>
  <si>
    <t>C067</t>
  </si>
  <si>
    <t>LG Gram Laptop</t>
  </si>
  <si>
    <t>C052</t>
  </si>
  <si>
    <t>HP Pavilion Desktop</t>
  </si>
  <si>
    <t>C112</t>
  </si>
  <si>
    <t>Xiaomi Mi Band</t>
  </si>
  <si>
    <t>C027</t>
  </si>
  <si>
    <t>Samsung Smart Fridge</t>
  </si>
  <si>
    <t>2/17/2024</t>
  </si>
  <si>
    <t>C017</t>
  </si>
  <si>
    <t>Canon Pixma Printer</t>
  </si>
  <si>
    <t>2/25/2024</t>
  </si>
  <si>
    <t>C043</t>
  </si>
  <si>
    <t>Sony WH-1000XM4 Headphones</t>
  </si>
  <si>
    <t>3/15/2024</t>
  </si>
  <si>
    <t>C120</t>
  </si>
  <si>
    <t>Anker Power Bank</t>
  </si>
  <si>
    <t>4/13/2024</t>
  </si>
  <si>
    <t>C113</t>
  </si>
  <si>
    <t>Alienware Gaming PC</t>
  </si>
  <si>
    <t>C079</t>
  </si>
  <si>
    <t>Polaroid Instant Camera</t>
  </si>
  <si>
    <t>4/17/2024</t>
  </si>
  <si>
    <t>C009</t>
  </si>
  <si>
    <t>Apple iPhone</t>
  </si>
  <si>
    <t>C108</t>
  </si>
  <si>
    <t>Philips Hue Smart Lights</t>
  </si>
  <si>
    <t>C084</t>
  </si>
  <si>
    <t>Canon EOS Camera</t>
  </si>
  <si>
    <t>C085</t>
  </si>
  <si>
    <t>Garmin Fenix 6</t>
  </si>
  <si>
    <t>3/24/2024</t>
  </si>
  <si>
    <t>C044</t>
  </si>
  <si>
    <t>Ninja Blender</t>
  </si>
  <si>
    <t>3/21/2024</t>
  </si>
  <si>
    <t>C095</t>
  </si>
  <si>
    <t>Bose Soundbar</t>
  </si>
  <si>
    <t>3/22/2024</t>
  </si>
  <si>
    <t>C056</t>
  </si>
  <si>
    <t>Samsung QLED TV</t>
  </si>
  <si>
    <t>C100</t>
  </si>
  <si>
    <t>Philips Sonicare Toothbrush</t>
  </si>
  <si>
    <t>3/20/2024</t>
  </si>
  <si>
    <t>C096</t>
  </si>
  <si>
    <t>Dyson Vacuum Cleaner</t>
  </si>
  <si>
    <t>2/19/2024</t>
  </si>
  <si>
    <t>C018</t>
  </si>
  <si>
    <t>Motorola Moto G</t>
  </si>
  <si>
    <t>C105</t>
  </si>
  <si>
    <t>Breville Espresso Machine</t>
  </si>
  <si>
    <t>C082</t>
  </si>
  <si>
    <t>Bose SoundLink Speaker</t>
  </si>
  <si>
    <t>2/24/2024</t>
  </si>
  <si>
    <t>C022</t>
  </si>
  <si>
    <t>Garmin GPS Navigator</t>
  </si>
  <si>
    <t>4/14/2024</t>
  </si>
  <si>
    <t>C058</t>
  </si>
  <si>
    <t>Bose Headphones</t>
  </si>
  <si>
    <t>3/27/2024</t>
  </si>
  <si>
    <t>C094</t>
  </si>
  <si>
    <t>Apple AirPods</t>
  </si>
  <si>
    <t>3/16/2024</t>
  </si>
  <si>
    <t>C051</t>
  </si>
  <si>
    <t>Lenovo ThinkPad</t>
  </si>
  <si>
    <t>4/19/2024</t>
  </si>
  <si>
    <t>C019</t>
  </si>
  <si>
    <t>Logitech G Pro X Headset</t>
  </si>
  <si>
    <t>C065</t>
  </si>
  <si>
    <t>Sony PlayStation</t>
  </si>
  <si>
    <t>4/18/2024</t>
  </si>
  <si>
    <t>C008</t>
  </si>
  <si>
    <t>Acer Predator Monitor</t>
  </si>
  <si>
    <t>2/16/2024</t>
  </si>
  <si>
    <t>C126</t>
  </si>
  <si>
    <t>Apple iMac</t>
  </si>
  <si>
    <t>4/16/2024</t>
  </si>
  <si>
    <t>C021</t>
  </si>
  <si>
    <t>Fitbit Versa Smartwatch</t>
  </si>
  <si>
    <t>C106</t>
  </si>
  <si>
    <t>Nikon D3500 Camera</t>
  </si>
  <si>
    <t>C046</t>
  </si>
  <si>
    <t>Toshiba External Hard Drive</t>
  </si>
  <si>
    <t>3/29/2024</t>
  </si>
  <si>
    <t>C010</t>
  </si>
  <si>
    <t>Casio G-Shock Watch</t>
  </si>
  <si>
    <t>C087</t>
  </si>
  <si>
    <t>Dell XPS Laptop</t>
  </si>
  <si>
    <t>C015</t>
  </si>
  <si>
    <t>LG 4K Monitor</t>
  </si>
  <si>
    <t>C081</t>
  </si>
  <si>
    <t>Shark Steam Mop</t>
  </si>
  <si>
    <t>C026</t>
  </si>
  <si>
    <t>Samsung Mobile</t>
  </si>
  <si>
    <t>3/13/2024</t>
  </si>
  <si>
    <t>C025</t>
  </si>
  <si>
    <t>Google Nest Thermostat</t>
  </si>
  <si>
    <t>C089</t>
  </si>
  <si>
    <t>LG Washing Machine</t>
  </si>
  <si>
    <t>2/22/2024</t>
  </si>
  <si>
    <t>C036</t>
  </si>
  <si>
    <t>Sony Xperia Smartphone</t>
  </si>
  <si>
    <t>C006</t>
  </si>
  <si>
    <t>iRobot Roomba</t>
  </si>
  <si>
    <t>C127</t>
  </si>
  <si>
    <t>Fitbit Inspire</t>
  </si>
  <si>
    <t>3/18/2024</t>
  </si>
  <si>
    <t>C001</t>
  </si>
  <si>
    <t>Samsung Galaxy Tablet</t>
  </si>
  <si>
    <t>2/15/2024</t>
  </si>
  <si>
    <t>C055</t>
  </si>
  <si>
    <t>GoPro Hero Camera</t>
  </si>
  <si>
    <t>2/26/2024</t>
  </si>
  <si>
    <t>C075</t>
  </si>
  <si>
    <t>Sennheiser Wireless Headphones</t>
  </si>
  <si>
    <t>C111</t>
  </si>
  <si>
    <t>JBL Portable Speaker</t>
  </si>
  <si>
    <t>C077</t>
  </si>
  <si>
    <t>Huawei P40 Pro</t>
  </si>
  <si>
    <t>2/23/2024</t>
  </si>
  <si>
    <t>C074</t>
  </si>
  <si>
    <t>HP Spectre x360</t>
  </si>
  <si>
    <t>3/17/2024</t>
  </si>
  <si>
    <t>C060</t>
  </si>
  <si>
    <t>Sony 4K TV</t>
  </si>
  <si>
    <t>C047</t>
  </si>
  <si>
    <t>iPad Mini</t>
  </si>
  <si>
    <t>3/28/2024</t>
  </si>
  <si>
    <t>C073</t>
  </si>
  <si>
    <t>Sonos One Smart Speaker</t>
  </si>
  <si>
    <t>2/27/2024</t>
  </si>
  <si>
    <t>C049</t>
  </si>
  <si>
    <t>HP Omen Gaming Laptop</t>
  </si>
  <si>
    <t>2/20/2024</t>
  </si>
  <si>
    <t>C088</t>
  </si>
  <si>
    <t>Microsoft Xbox</t>
  </si>
  <si>
    <t>C030</t>
  </si>
  <si>
    <t>Fitbit Charge</t>
  </si>
  <si>
    <t>2/21/2024</t>
  </si>
  <si>
    <t>C023</t>
  </si>
  <si>
    <t>Jabra Elite Wireless Earbuds</t>
  </si>
  <si>
    <t>C050</t>
  </si>
  <si>
    <t>Sony Smartwatch</t>
  </si>
  <si>
    <t>3/14/2024</t>
  </si>
  <si>
    <t>C099</t>
  </si>
  <si>
    <t>Apple MacBook Pro</t>
  </si>
  <si>
    <t>C042</t>
  </si>
  <si>
    <t>Nintendo Switch</t>
  </si>
  <si>
    <t>2/18/2024</t>
  </si>
  <si>
    <t>C068</t>
  </si>
  <si>
    <t>Samsung Smartwatch Active</t>
  </si>
  <si>
    <t>2/14/2024</t>
  </si>
  <si>
    <t>C128</t>
  </si>
  <si>
    <t>Apple Magic Mouse</t>
  </si>
  <si>
    <t>3/23/2024</t>
  </si>
  <si>
    <t>C040</t>
  </si>
  <si>
    <t>Bose QuietComfort Headphones</t>
  </si>
  <si>
    <t>3/30/2024</t>
  </si>
  <si>
    <t>C011</t>
  </si>
  <si>
    <t>HP Envy Printer</t>
  </si>
  <si>
    <t>C054</t>
  </si>
  <si>
    <t>Razer Gaming Mouse</t>
  </si>
  <si>
    <t>C032</t>
  </si>
  <si>
    <t>Canon Rebel DSLR Camera</t>
  </si>
  <si>
    <t>C048</t>
  </si>
  <si>
    <t>Nespresso Vertuo Coffee Maker</t>
  </si>
  <si>
    <t>C107</t>
  </si>
  <si>
    <t>Apple iPad Pro</t>
  </si>
  <si>
    <t>C061</t>
  </si>
  <si>
    <t>Dell Inspiron Laptop</t>
  </si>
  <si>
    <t>3/31/2024</t>
  </si>
  <si>
    <t>C072</t>
  </si>
  <si>
    <t>LG OLED TV</t>
  </si>
  <si>
    <t>2/28/2024</t>
  </si>
  <si>
    <t>C098</t>
  </si>
  <si>
    <t>GoPro Max Camera</t>
  </si>
  <si>
    <t>C086</t>
  </si>
  <si>
    <t>Samsung Galaxy Watch</t>
  </si>
  <si>
    <t>3/19/2024</t>
  </si>
  <si>
    <t>C024</t>
  </si>
  <si>
    <t>KitchenAid Mixer</t>
  </si>
  <si>
    <t>C076</t>
  </si>
  <si>
    <t>Fitbit Sense</t>
  </si>
  <si>
    <t>C007</t>
  </si>
  <si>
    <t>Gala Mop</t>
  </si>
  <si>
    <t>2/13/2024</t>
  </si>
  <si>
    <t>C097</t>
  </si>
  <si>
    <t>Asus ROG Laptop</t>
  </si>
  <si>
    <t>C003</t>
  </si>
  <si>
    <t>Samsung 65-inch TV</t>
  </si>
  <si>
    <t>C034</t>
  </si>
  <si>
    <t>KitchenAid Stand Mixer</t>
  </si>
  <si>
    <t>C013</t>
  </si>
  <si>
    <t>Microsoft Surface Laptop</t>
  </si>
  <si>
    <t>2/29/2024</t>
  </si>
  <si>
    <t>Find the product purchased by the customer with ID "C003" If the customer is not found, return "Customer Not Found."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</si>
</sst>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D3134"/>
      <name val="Courier New"/>
      <family val="3"/>
    </font>
    <font>
      <b/>
      <sz val="10"/>
      <color theme="0"/>
      <name val="Calibri"/>
      <family val="2"/>
      <scheme val="minor"/>
    </font>
    <font>
      <b/>
      <sz val="10"/>
      <color theme="1" tint="4.9989318521683403E-2"/>
      <name val="Calibri"/>
      <family val="2"/>
      <scheme val="minor"/>
    </font>
    <font>
      <sz val="10"/>
      <color theme="1" tint="4.9989318521683403E-2"/>
      <name val="Calibri"/>
      <family val="2"/>
      <scheme val="minor"/>
    </font>
    <font>
      <sz val="10"/>
      <color theme="1" tint="4.9989318521683403E-2"/>
      <name val="Calibri"/>
      <family val="2"/>
      <scheme val="minor"/>
    </font>
    <font>
      <sz val="8"/>
      <color rgb="FF333B48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56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14" fillId="0" borderId="0" xfId="0" applyFont="1"/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5" fillId="11" borderId="0" xfId="0" applyFont="1" applyFill="1" applyAlignment="1">
      <alignment vertical="center" wrapText="1"/>
    </xf>
    <xf numFmtId="0" fontId="16" fillId="10" borderId="3" xfId="0" applyFont="1" applyFill="1" applyBorder="1" applyAlignment="1">
      <alignment vertical="center" wrapText="1"/>
    </xf>
    <xf numFmtId="0" fontId="17" fillId="0" borderId="23" xfId="0" applyFont="1" applyBorder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/>
    <xf numFmtId="0" fontId="17" fillId="0" borderId="3" xfId="0" applyFont="1" applyBorder="1" applyAlignment="1">
      <alignment vertical="center" wrapText="1"/>
    </xf>
    <xf numFmtId="0" fontId="17" fillId="0" borderId="7" xfId="0" applyFont="1" applyBorder="1" applyAlignment="1">
      <alignment vertical="center" wrapText="1"/>
    </xf>
    <xf numFmtId="0" fontId="17" fillId="0" borderId="0" xfId="0" applyFont="1" applyBorder="1" applyAlignment="1">
      <alignment vertical="center" wrapText="1"/>
    </xf>
    <xf numFmtId="0" fontId="18" fillId="0" borderId="23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0" fillId="0" borderId="23" xfId="0" applyBorder="1" applyAlignment="1">
      <alignment vertical="center"/>
    </xf>
    <xf numFmtId="0" fontId="19" fillId="0" borderId="0" xfId="0" applyFont="1"/>
    <xf numFmtId="0" fontId="17" fillId="0" borderId="0" xfId="0" applyFont="1" applyAlignment="1">
      <alignment horizontal="center" vertical="center" wrapText="1"/>
    </xf>
    <xf numFmtId="0" fontId="9" fillId="0" borderId="0" xfId="0" applyFont="1"/>
    <xf numFmtId="0" fontId="8" fillId="10" borderId="3" xfId="0" applyFont="1" applyFill="1" applyBorder="1"/>
    <xf numFmtId="14" fontId="9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G21" sqref="G21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5" t="s">
        <v>0</v>
      </c>
      <c r="B1" s="95"/>
      <c r="C1" s="95"/>
      <c r="D1" s="95"/>
      <c r="E1" s="95"/>
      <c r="F1" s="95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5" t="s">
        <v>18</v>
      </c>
      <c r="B15" s="95"/>
      <c r="C15" s="95"/>
      <c r="D15" s="95"/>
      <c r="E15" s="95"/>
      <c r="F15" s="95"/>
      <c r="G15" s="95"/>
      <c r="H15" s="95"/>
      <c r="I15" s="95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97" t="s">
        <v>18</v>
      </c>
      <c r="B1" s="98"/>
      <c r="C1" s="98"/>
      <c r="D1" s="98"/>
      <c r="E1" s="98"/>
      <c r="F1" s="98"/>
      <c r="G1" s="99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97" t="s">
        <v>18</v>
      </c>
      <c r="B16" s="98"/>
      <c r="C16" s="98"/>
      <c r="D16" s="98"/>
      <c r="E16" s="98"/>
      <c r="F16" s="109"/>
      <c r="G16" s="109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10" t="s">
        <v>70</v>
      </c>
      <c r="I18" s="111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10" t="s">
        <v>71</v>
      </c>
      <c r="I19" s="111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100" t="s">
        <v>60</v>
      </c>
      <c r="B31" s="101"/>
      <c r="C31" s="101"/>
      <c r="D31" s="101"/>
      <c r="E31" s="101"/>
      <c r="F31" s="101"/>
      <c r="G31" s="101"/>
      <c r="H31" s="102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12"/>
      <c r="G32" s="113"/>
      <c r="H32" s="114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03" t="s">
        <v>69</v>
      </c>
      <c r="G33" s="104"/>
      <c r="H33" s="105"/>
      <c r="I33" s="115" t="s">
        <v>72</v>
      </c>
      <c r="J33" s="111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06" t="s">
        <v>73</v>
      </c>
      <c r="G34" s="107"/>
      <c r="H34" s="108"/>
      <c r="I34" s="118" t="s">
        <v>74</v>
      </c>
      <c r="J34" s="118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96"/>
      <c r="G35" s="96"/>
      <c r="H35" s="96"/>
      <c r="I35" s="119"/>
      <c r="J35" s="118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96"/>
      <c r="G36" s="96"/>
      <c r="H36" s="96"/>
      <c r="I36" s="116"/>
      <c r="J36" s="117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96"/>
      <c r="G37" s="96"/>
      <c r="H37" s="96"/>
      <c r="I37" s="116"/>
      <c r="J37" s="117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96"/>
      <c r="G38" s="96"/>
      <c r="H38" s="96"/>
      <c r="I38" s="116"/>
      <c r="J38" s="117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96"/>
      <c r="G39" s="96"/>
      <c r="H39" s="96"/>
      <c r="I39" s="116"/>
      <c r="J39" s="117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96"/>
      <c r="G40" s="96"/>
      <c r="H40" s="96"/>
      <c r="I40" s="116"/>
      <c r="J40" s="117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96"/>
      <c r="G41" s="96"/>
      <c r="H41" s="96"/>
      <c r="I41" s="116"/>
      <c r="J41" s="117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96"/>
      <c r="G42" s="96"/>
      <c r="H42" s="96"/>
      <c r="I42" s="116"/>
      <c r="J42" s="117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96"/>
      <c r="G43" s="96"/>
      <c r="H43" s="96"/>
      <c r="I43" s="116"/>
      <c r="J43" s="117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96"/>
      <c r="G44" s="96"/>
      <c r="H44" s="96"/>
      <c r="I44" s="116"/>
      <c r="J44" s="117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96"/>
      <c r="G45" s="96"/>
      <c r="H45" s="96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96"/>
      <c r="G46" s="96"/>
      <c r="H46" s="96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96"/>
      <c r="G47" s="96"/>
      <c r="H47" s="96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96"/>
      <c r="G48" s="96"/>
      <c r="H48" s="96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96"/>
      <c r="G49" s="96"/>
      <c r="H49" s="96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96"/>
      <c r="G50" s="96"/>
      <c r="H50" s="96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96"/>
      <c r="G51" s="96"/>
      <c r="H51" s="96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20" t="s">
        <v>75</v>
      </c>
      <c r="B1" s="121"/>
      <c r="C1" s="121"/>
      <c r="D1" s="121"/>
      <c r="E1" s="121"/>
      <c r="F1" s="122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3" t="s">
        <v>89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3" t="s">
        <v>88</v>
      </c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4" t="s">
        <v>85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4" t="s">
        <v>86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4" t="s">
        <v>87</v>
      </c>
      <c r="J13" s="123"/>
      <c r="K13" s="123"/>
      <c r="L13" s="123"/>
      <c r="M13" s="123"/>
      <c r="N13" s="123"/>
      <c r="O13" s="123"/>
      <c r="P13" s="123"/>
      <c r="Q13" s="123"/>
      <c r="R13" s="123"/>
      <c r="S13" s="123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5" t="s">
        <v>90</v>
      </c>
      <c r="B1" s="126"/>
      <c r="C1" s="126"/>
      <c r="D1" s="126"/>
      <c r="E1" s="126"/>
      <c r="F1" s="126"/>
      <c r="G1" s="127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1" t="s">
        <v>109</v>
      </c>
      <c r="G3" s="132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1" t="s">
        <v>110</v>
      </c>
      <c r="G4" s="132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1" t="s">
        <v>112</v>
      </c>
      <c r="G5" s="132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1" t="s">
        <v>114</v>
      </c>
      <c r="G6" s="132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1" t="s">
        <v>115</v>
      </c>
      <c r="G7" s="132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1"/>
      <c r="G8" s="132"/>
      <c r="I8" s="123" t="s">
        <v>113</v>
      </c>
      <c r="J8" s="123"/>
      <c r="K8" s="123"/>
      <c r="L8" s="123"/>
      <c r="M8" s="123"/>
      <c r="N8" s="123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1" t="s">
        <v>120</v>
      </c>
      <c r="G9" s="132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1"/>
      <c r="G10" s="132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1" t="s">
        <v>123</v>
      </c>
      <c r="G11" s="132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8" t="s">
        <v>18</v>
      </c>
      <c r="B14" s="129"/>
      <c r="C14" s="129"/>
      <c r="D14" s="129"/>
      <c r="E14" s="129"/>
      <c r="F14" s="129"/>
      <c r="G14" s="130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L25"/>
  <sheetViews>
    <sheetView workbookViewId="0">
      <selection activeCell="K23" sqref="K23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2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2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2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2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2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  <c r="K5" s="65">
        <f>SUMIF(E2:E11,"Credit Card",D2:D11)</f>
        <v>2500</v>
      </c>
    </row>
    <row r="6" spans="1:12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  <c r="K6" s="65">
        <f>SUMIF(B2:B11,"HR",D2:D11)</f>
        <v>5400</v>
      </c>
    </row>
    <row r="7" spans="1:12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SUMIFS(D:D,C:C,"Software",A:A,"&gt;=01-Jan-2025",A:A,"&lt;=31-Jan-2025")</f>
        <v>1200</v>
      </c>
    </row>
    <row r="8" spans="1:12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  <c r="K8" s="65">
        <f>SUMIFS(D2:D11,C2:C11,"Travel",F2:F11,"West",E2:E11,"Credit Card")</f>
        <v>950</v>
      </c>
    </row>
    <row r="9" spans="1:12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  <c r="K9" s="65">
        <f>SUMIFS(D2:D11,B2:B11,"IT",A2:A11,"&gt;=01-Feb-2025",A2:A11,"&lt;=28-Feb-2025")</f>
        <v>2500</v>
      </c>
    </row>
    <row r="10" spans="1:12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  <c r="K10" s="65">
        <f>SUMIFS(D2:D11,C2:C11,"Office Supplies",F2:F11,"North")</f>
        <v>400</v>
      </c>
    </row>
    <row r="11" spans="1:12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  <c r="K11" s="65">
        <f>SUMIFS(D2:D11,C2:C11,"Utilities",E2:E11,"Bank Transfer")</f>
        <v>750</v>
      </c>
    </row>
    <row r="12" spans="1:12" x14ac:dyDescent="0.3">
      <c r="A12" s="92"/>
      <c r="I12" s="65" t="s">
        <v>159</v>
      </c>
      <c r="J12" s="65" t="s">
        <v>160</v>
      </c>
      <c r="K12" s="65">
        <f>SUMIFS(D2:D11,F2:F11,"East",A2:A11,"&gt;=1-Jan-2025",A2:A11,"&lt;=31-Jan-2025")</f>
        <v>1550</v>
      </c>
    </row>
    <row r="13" spans="1:12" x14ac:dyDescent="0.3">
      <c r="A13" s="92"/>
      <c r="I13" s="65" t="s">
        <v>161</v>
      </c>
      <c r="J13" s="65" t="s">
        <v>162</v>
      </c>
      <c r="K13" s="65">
        <f>SUMIFS(D2:D11,C2:C11,"Salaries",F2:F11,"East",A2:A11,"&gt;=01-Feb-2025",A2:A11,"&lt;=28-Feb-2025")</f>
        <v>4800</v>
      </c>
      <c r="L13" s="94"/>
    </row>
    <row r="14" spans="1:12" x14ac:dyDescent="0.3">
      <c r="A14" s="92"/>
      <c r="I14" s="65" t="s">
        <v>163</v>
      </c>
      <c r="J14" s="65" t="s">
        <v>164</v>
      </c>
    </row>
    <row r="15" spans="1:12" x14ac:dyDescent="0.3">
      <c r="A15" s="92"/>
      <c r="I15" s="65" t="s">
        <v>165</v>
      </c>
      <c r="J15" s="65" t="s">
        <v>166</v>
      </c>
    </row>
    <row r="16" spans="1:12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5D93C-681F-429B-96D1-BA84CBB212E4}">
  <dimension ref="A1:D11"/>
  <sheetViews>
    <sheetView workbookViewId="0">
      <selection activeCell="F11" sqref="F11"/>
    </sheetView>
  </sheetViews>
  <sheetFormatPr defaultRowHeight="14.4" x14ac:dyDescent="0.3"/>
  <cols>
    <col min="1" max="16384" width="8.88671875" style="138"/>
  </cols>
  <sheetData>
    <row r="1" spans="1:4" x14ac:dyDescent="0.3">
      <c r="A1" s="137" t="s">
        <v>306</v>
      </c>
      <c r="B1" s="137" t="s">
        <v>20</v>
      </c>
      <c r="C1" s="137" t="s">
        <v>307</v>
      </c>
    </row>
    <row r="2" spans="1:4" x14ac:dyDescent="0.3">
      <c r="A2" s="138" t="s">
        <v>22</v>
      </c>
      <c r="B2" s="138" t="s">
        <v>63</v>
      </c>
      <c r="C2" s="138">
        <v>500</v>
      </c>
      <c r="D2" s="139">
        <f>AVERAGE((AVERAGEIFS(C2:C11,B2:B11,"Speakers",A2:A11,"South")+AVERAGEIFS(C2:C11,B2:B11,"Speakers",A2:A11,"East"))/2)</f>
        <v>175</v>
      </c>
    </row>
    <row r="3" spans="1:4" x14ac:dyDescent="0.3">
      <c r="A3" s="138" t="s">
        <v>22</v>
      </c>
      <c r="B3" s="138" t="s">
        <v>290</v>
      </c>
      <c r="C3" s="138">
        <v>300</v>
      </c>
    </row>
    <row r="4" spans="1:4" x14ac:dyDescent="0.3">
      <c r="A4" s="138" t="s">
        <v>26</v>
      </c>
      <c r="B4" s="138" t="s">
        <v>63</v>
      </c>
      <c r="C4" s="138">
        <v>450</v>
      </c>
    </row>
    <row r="5" spans="1:4" x14ac:dyDescent="0.3">
      <c r="A5" s="138" t="s">
        <v>26</v>
      </c>
      <c r="B5" s="138" t="s">
        <v>68</v>
      </c>
      <c r="C5" s="138">
        <v>200</v>
      </c>
    </row>
    <row r="6" spans="1:4" x14ac:dyDescent="0.3">
      <c r="A6" s="138" t="s">
        <v>29</v>
      </c>
      <c r="B6" s="138" t="s">
        <v>63</v>
      </c>
      <c r="C6" s="138">
        <v>600</v>
      </c>
    </row>
    <row r="7" spans="1:4" x14ac:dyDescent="0.3">
      <c r="A7" s="138" t="s">
        <v>29</v>
      </c>
      <c r="B7" s="138" t="s">
        <v>290</v>
      </c>
      <c r="C7" s="138">
        <v>250</v>
      </c>
    </row>
    <row r="8" spans="1:4" x14ac:dyDescent="0.3">
      <c r="A8" s="138" t="s">
        <v>24</v>
      </c>
      <c r="B8" s="138" t="s">
        <v>68</v>
      </c>
      <c r="C8" s="138">
        <v>150</v>
      </c>
    </row>
    <row r="9" spans="1:4" x14ac:dyDescent="0.3">
      <c r="A9" s="138" t="s">
        <v>24</v>
      </c>
      <c r="B9" s="138" t="s">
        <v>63</v>
      </c>
      <c r="C9" s="138">
        <v>700</v>
      </c>
    </row>
    <row r="10" spans="1:4" x14ac:dyDescent="0.3">
      <c r="A10" s="138" t="s">
        <v>22</v>
      </c>
      <c r="B10" s="138" t="s">
        <v>68</v>
      </c>
      <c r="C10" s="138">
        <v>400</v>
      </c>
    </row>
    <row r="11" spans="1:4" x14ac:dyDescent="0.3">
      <c r="A11" s="138" t="s">
        <v>26</v>
      </c>
      <c r="B11" s="138" t="s">
        <v>290</v>
      </c>
      <c r="C11" s="138">
        <v>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J10" sqref="J10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  <c r="J6" s="65">
        <f>COUNTIF(D2:D11,"&gt;500")</f>
        <v>4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  <c r="J7" s="65">
        <f>COUNTIF(D2:D11,"&lt;400")</f>
        <v>3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  <c r="J8" s="65">
        <f>COUNTIF(C2:C11,"Overdue")</f>
        <v>5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  <c r="J9" s="65">
        <f>COUNTIFS(B2:B11,"south",C2:C11,"paid")</f>
        <v>3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3" t="s">
        <v>224</v>
      </c>
      <c r="B24" s="134"/>
      <c r="C24" s="134"/>
      <c r="D24" s="134"/>
      <c r="E24" s="134"/>
      <c r="F24" s="134"/>
      <c r="G24" s="134"/>
      <c r="H24" s="134"/>
      <c r="I24" s="134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K25"/>
  <sheetViews>
    <sheetView workbookViewId="0">
      <selection activeCell="J21" sqref="J21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1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1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1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  <c r="J3" s="65" t="str">
        <f>VLOOKUP(A7,A2:F11,3,0)</f>
        <v>Marketing</v>
      </c>
      <c r="K3" s="65" t="str">
        <f>VLOOKUP(106,A2:F11,3,0)</f>
        <v>Marketing</v>
      </c>
    </row>
    <row r="4" spans="1:11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  <c r="J4" s="65">
        <f>VLOOKUP(102,A2:F11,5,0)</f>
        <v>72000</v>
      </c>
    </row>
    <row r="5" spans="1:11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  <c r="J5" s="65">
        <f>VLOOKUP(109,A2:F11,6,0)</f>
        <v>0.1</v>
      </c>
    </row>
    <row r="6" spans="1:11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  <c r="J6" s="65" t="str">
        <f>VLOOKUP(101,A2:F11,4,0)</f>
        <v>New York</v>
      </c>
    </row>
    <row r="7" spans="1:11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  <c r="J7" s="65">
        <f>VLOOKUP(110,A2:F11,5,0)</f>
        <v>85000</v>
      </c>
    </row>
    <row r="8" spans="1:11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  <c r="J8" s="65" t="str">
        <f>VLOOKUP(103,A2:F11,3,0)</f>
        <v>IT</v>
      </c>
    </row>
    <row r="9" spans="1:11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  <c r="J9" s="65" t="str">
        <f>INDEX(B2:B11,MATCH(62000,E2:E11,0))</f>
        <v>Emily Davis</v>
      </c>
    </row>
    <row r="10" spans="1:11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  <c r="J10" s="65">
        <f>VLOOKUP(105,A2:F11,5,0)*(1+VLOOKUP(105,A2:F11,6,0))</f>
        <v>68820</v>
      </c>
    </row>
    <row r="11" spans="1:11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  <c r="J11" s="65" t="str">
        <f>VLOOKUP(107,A2:F11,4,0)</f>
        <v>San Diego</v>
      </c>
    </row>
    <row r="12" spans="1:11" x14ac:dyDescent="0.3">
      <c r="I12" s="65" t="s">
        <v>256</v>
      </c>
      <c r="J12" s="65">
        <f>VLOOKUP(102,A2:F11,5,0)*VLOOKUP(102,A2:F11,6,0)</f>
        <v>8640</v>
      </c>
    </row>
    <row r="13" spans="1:11" x14ac:dyDescent="0.3">
      <c r="I13" s="65" t="s">
        <v>257</v>
      </c>
      <c r="J13" s="65" t="str">
        <f>VLOOKUP(108,A2:F11,3,0)</f>
        <v>HR</v>
      </c>
    </row>
    <row r="14" spans="1:11" x14ac:dyDescent="0.3">
      <c r="I14" s="65" t="s">
        <v>258</v>
      </c>
      <c r="J14" s="65" t="str">
        <f>VLOOKUP(109,A2:F11,2,0)</f>
        <v>Irene Scott</v>
      </c>
    </row>
    <row r="15" spans="1:11" x14ac:dyDescent="0.3">
      <c r="I15" s="65" t="s">
        <v>259</v>
      </c>
      <c r="J15" s="65" cm="1">
        <f t="array" ref="J15">INDEX(E2:E11,MATCH(1,(C2:C11="Finance")*(D2:D11="Boston"),0))</f>
        <v>68000</v>
      </c>
    </row>
    <row r="16" spans="1:11" x14ac:dyDescent="0.3">
      <c r="I16" s="65" t="s">
        <v>260</v>
      </c>
      <c r="J16" s="65" t="str">
        <f>VLOOKUP(101,A2:F11,3,0)</f>
        <v>Finance</v>
      </c>
    </row>
    <row r="17" spans="1:10" x14ac:dyDescent="0.3">
      <c r="I17" s="65" t="s">
        <v>261</v>
      </c>
      <c r="J17" s="65">
        <f>VLOOKUP(110,A2:F11,6,0)</f>
        <v>0.12</v>
      </c>
    </row>
    <row r="18" spans="1:10" x14ac:dyDescent="0.3">
      <c r="I18" s="65" t="s">
        <v>262</v>
      </c>
      <c r="J18" s="65">
        <f>VLOOKUP(103,A2:F11,5,0)*1.05</f>
        <v>84000</v>
      </c>
    </row>
    <row r="19" spans="1:10" x14ac:dyDescent="0.3">
      <c r="I19" s="65" t="s">
        <v>263</v>
      </c>
      <c r="J19" s="65" t="str">
        <f>VLOOKUP(105,A2:F11,4,0)</f>
        <v>Chicago</v>
      </c>
    </row>
    <row r="20" spans="1:10" x14ac:dyDescent="0.3">
      <c r="I20" s="65" t="s">
        <v>264</v>
      </c>
      <c r="J20" s="65" t="str">
        <f>VLOOKUP(106,A2:F11,2,0)</f>
        <v>Frank Lee</v>
      </c>
    </row>
    <row r="21" spans="1:10" x14ac:dyDescent="0.3">
      <c r="I21" s="65" t="s">
        <v>265</v>
      </c>
      <c r="J21" s="65">
        <f>VLOOKUP(107,A2:F11,5)*(1+(VLOOKUP(107,A2:F11,6,0)))</f>
        <v>87740</v>
      </c>
    </row>
    <row r="25" spans="1:10" x14ac:dyDescent="0.3">
      <c r="A25" s="133" t="s">
        <v>266</v>
      </c>
      <c r="B25" s="134"/>
      <c r="C25" s="134"/>
      <c r="D25" s="134"/>
      <c r="E25" s="134"/>
      <c r="F25" s="134"/>
      <c r="G25" s="134"/>
      <c r="H25" s="134"/>
      <c r="I25" s="134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Q24"/>
  <sheetViews>
    <sheetView workbookViewId="0">
      <selection activeCell="Q21" sqref="Q21"/>
    </sheetView>
  </sheetViews>
  <sheetFormatPr defaultColWidth="10.33203125" defaultRowHeight="13.8" x14ac:dyDescent="0.3"/>
  <cols>
    <col min="1" max="1" width="12.21875" style="65" customWidth="1"/>
    <col min="2" max="11" width="11" style="65" customWidth="1"/>
    <col min="12" max="16384" width="10.33203125" style="65"/>
  </cols>
  <sheetData>
    <row r="1" spans="1:17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</row>
    <row r="2" spans="1:17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7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7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7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7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7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15" spans="1:17" x14ac:dyDescent="0.3">
      <c r="L15" s="135" t="s">
        <v>278</v>
      </c>
      <c r="M15" s="135"/>
      <c r="N15" s="135"/>
      <c r="O15" s="135"/>
      <c r="P15" s="135"/>
      <c r="Q15" s="65" t="str">
        <f>HLOOKUP(104, B2:K6, 2, FALSE)</f>
        <v>David Chen</v>
      </c>
    </row>
    <row r="16" spans="1:17" x14ac:dyDescent="0.3">
      <c r="L16" s="135" t="s">
        <v>279</v>
      </c>
      <c r="M16" s="135"/>
      <c r="N16" s="135"/>
      <c r="O16" s="135"/>
      <c r="P16" s="135"/>
      <c r="Q16" s="65" t="str">
        <f>HLOOKUP(106,B2:K7,3,0)</f>
        <v>Marketing</v>
      </c>
    </row>
    <row r="17" spans="1:17" x14ac:dyDescent="0.3">
      <c r="L17" s="135" t="s">
        <v>280</v>
      </c>
      <c r="M17" s="135"/>
      <c r="N17" s="135"/>
      <c r="O17" s="135"/>
      <c r="P17" s="135"/>
      <c r="Q17" s="65">
        <f>HLOOKUP(102,B2:K7,5,0)</f>
        <v>72000</v>
      </c>
    </row>
    <row r="18" spans="1:17" x14ac:dyDescent="0.3">
      <c r="L18" s="135" t="s">
        <v>281</v>
      </c>
      <c r="M18" s="135"/>
      <c r="N18" s="135"/>
      <c r="O18" s="135"/>
      <c r="P18" s="135"/>
      <c r="Q18" s="65">
        <f>HLOOKUP(109,B2:K7,6,0)</f>
        <v>0.1</v>
      </c>
    </row>
    <row r="19" spans="1:17" x14ac:dyDescent="0.3">
      <c r="L19" s="135" t="s">
        <v>282</v>
      </c>
      <c r="M19" s="135"/>
      <c r="N19" s="135"/>
      <c r="O19" s="135"/>
      <c r="P19" s="135"/>
      <c r="Q19" s="65" t="str">
        <f>HLOOKUP(101,B2:K7,4,0)</f>
        <v>New York</v>
      </c>
    </row>
    <row r="20" spans="1:17" x14ac:dyDescent="0.3">
      <c r="L20" s="135" t="s">
        <v>283</v>
      </c>
      <c r="M20" s="135"/>
      <c r="N20" s="135"/>
      <c r="O20" s="135"/>
      <c r="P20" s="135"/>
      <c r="Q20" s="65">
        <f>HLOOKUP(110,A2:K7,5,0)</f>
        <v>85000</v>
      </c>
    </row>
    <row r="21" spans="1:17" x14ac:dyDescent="0.3">
      <c r="L21" s="135" t="s">
        <v>284</v>
      </c>
      <c r="M21" s="135"/>
      <c r="N21" s="135"/>
      <c r="O21" s="135"/>
      <c r="P21" s="135"/>
      <c r="Q21" s="65" t="str">
        <f>HLOOKUP(103,B2:K7,3,0)</f>
        <v>IT</v>
      </c>
    </row>
    <row r="22" spans="1:17" x14ac:dyDescent="0.3">
      <c r="L22" s="135" t="s">
        <v>285</v>
      </c>
      <c r="M22" s="135"/>
      <c r="N22" s="135"/>
      <c r="O22" s="135"/>
      <c r="P22" s="135"/>
      <c r="Q22" s="65" t="s">
        <v>286</v>
      </c>
    </row>
    <row r="23" spans="1:17" x14ac:dyDescent="0.3">
      <c r="L23" s="135" t="s">
        <v>287</v>
      </c>
      <c r="M23" s="135"/>
      <c r="N23" s="135"/>
      <c r="O23" s="135"/>
      <c r="P23" s="135"/>
      <c r="Q23" s="65">
        <v>0</v>
      </c>
    </row>
    <row r="24" spans="1:17" x14ac:dyDescent="0.3">
      <c r="A24" s="133" t="s">
        <v>289</v>
      </c>
      <c r="B24" s="134"/>
      <c r="C24" s="134"/>
      <c r="D24" s="134"/>
      <c r="E24" s="134"/>
      <c r="F24" s="134"/>
      <c r="G24" s="134"/>
      <c r="H24" s="134"/>
      <c r="I24" s="134"/>
      <c r="L24" s="135" t="s">
        <v>288</v>
      </c>
      <c r="M24" s="135"/>
      <c r="N24" s="135"/>
      <c r="O24" s="135"/>
      <c r="P24" s="135"/>
      <c r="Q24" s="65">
        <v>0</v>
      </c>
    </row>
  </sheetData>
  <mergeCells count="11">
    <mergeCell ref="A24:I24"/>
    <mergeCell ref="L15:P15"/>
    <mergeCell ref="L16:P16"/>
    <mergeCell ref="L17:P17"/>
    <mergeCell ref="L18:P18"/>
    <mergeCell ref="L19:P19"/>
    <mergeCell ref="L20:P20"/>
    <mergeCell ref="L21:P21"/>
    <mergeCell ref="L22:P22"/>
    <mergeCell ref="L23:P23"/>
    <mergeCell ref="L24:P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workbookViewId="0">
      <selection activeCell="B16" sqref="B16"/>
    </sheetView>
  </sheetViews>
  <sheetFormatPr defaultRowHeight="13.8" x14ac:dyDescent="0.3"/>
  <cols>
    <col min="1" max="1" width="37.109375" style="65" bestFit="1" customWidth="1"/>
    <col min="2" max="2" width="12.21875" style="65" bestFit="1" customWidth="1"/>
    <col min="3" max="3" width="9.3320312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B12" s="65" t="str">
        <f>INDEX(C2:C6,MATCH("Monitor",B2:B6,0))</f>
        <v>Electronics</v>
      </c>
      <c r="C12" s="65" t="s">
        <v>23</v>
      </c>
    </row>
    <row r="13" spans="1:5" x14ac:dyDescent="0.3">
      <c r="A13" s="65" t="s">
        <v>298</v>
      </c>
      <c r="B13" s="65">
        <f>INDEX(E2:E6,MATCH(101,A2:A6,0))</f>
        <v>5000</v>
      </c>
      <c r="C13" s="65">
        <v>5000</v>
      </c>
    </row>
    <row r="14" spans="1:5" x14ac:dyDescent="0.3">
      <c r="A14" s="65" t="s">
        <v>299</v>
      </c>
      <c r="B14" s="65" t="str">
        <f>INDEX(B2:B6,MATCH("East",D2:D6,0))</f>
        <v>Chair</v>
      </c>
      <c r="C14" s="65" t="s">
        <v>291</v>
      </c>
    </row>
    <row r="15" spans="1:5" x14ac:dyDescent="0.3">
      <c r="A15" s="65" t="s">
        <v>300</v>
      </c>
      <c r="B15" s="65" t="str">
        <f>INDEX(D2:D6,MATCH("Chair",B2:B6,0))</f>
        <v>East</v>
      </c>
      <c r="C15" s="65" t="s">
        <v>26</v>
      </c>
    </row>
    <row r="16" spans="1:5" x14ac:dyDescent="0.3">
      <c r="A16" s="65" t="s">
        <v>301</v>
      </c>
      <c r="B16" s="65">
        <f>INDEX(E2:E6,MATCH(105,A2:A6,0))</f>
        <v>4000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3" t="s">
        <v>305</v>
      </c>
      <c r="B23" s="134"/>
      <c r="C23" s="134"/>
      <c r="D23" s="134"/>
      <c r="E23" s="134"/>
      <c r="F23" s="134"/>
      <c r="G23" s="134"/>
      <c r="H23" s="134"/>
      <c r="I23" s="134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B66E3-D8B3-4864-9195-145E9212AB0D}">
  <dimension ref="A1:S82"/>
  <sheetViews>
    <sheetView workbookViewId="0">
      <selection activeCell="I4" sqref="I4"/>
    </sheetView>
  </sheetViews>
  <sheetFormatPr defaultColWidth="11.6640625" defaultRowHeight="13.8" x14ac:dyDescent="0.3"/>
  <cols>
    <col min="1" max="1" width="11.6640625" style="144"/>
    <col min="2" max="2" width="17.6640625" style="144" bestFit="1" customWidth="1"/>
    <col min="3" max="5" width="11.6640625" style="144"/>
    <col min="6" max="6" width="17.21875" style="144" customWidth="1"/>
    <col min="7" max="7" width="1.6640625" style="144" customWidth="1"/>
    <col min="8" max="8" width="11.6640625" style="144"/>
    <col min="9" max="9" width="17.6640625" style="144" customWidth="1"/>
    <col min="10" max="16" width="12.6640625" style="144" customWidth="1"/>
    <col min="17" max="16384" width="11.6640625" style="144"/>
  </cols>
  <sheetData>
    <row r="1" spans="1:19" ht="14.4" thickBot="1" x14ac:dyDescent="0.35">
      <c r="A1" s="140" t="s">
        <v>308</v>
      </c>
      <c r="B1" s="140" t="s">
        <v>226</v>
      </c>
      <c r="C1" s="140" t="s">
        <v>42</v>
      </c>
      <c r="D1" s="140" t="s">
        <v>228</v>
      </c>
      <c r="E1" s="140" t="s">
        <v>41</v>
      </c>
      <c r="F1" s="140" t="s">
        <v>309</v>
      </c>
      <c r="G1" s="140"/>
      <c r="H1" s="141" t="s">
        <v>21</v>
      </c>
      <c r="I1" s="141" t="s">
        <v>4</v>
      </c>
      <c r="J1" s="142"/>
      <c r="K1" s="143"/>
      <c r="L1" s="143"/>
      <c r="M1" s="143"/>
      <c r="N1" s="143"/>
      <c r="O1" s="143"/>
      <c r="P1" s="143"/>
      <c r="Q1" s="143"/>
      <c r="R1" s="143"/>
      <c r="S1" s="143"/>
    </row>
    <row r="2" spans="1:19" ht="15" customHeight="1" thickBot="1" x14ac:dyDescent="0.35">
      <c r="A2" s="143">
        <v>118</v>
      </c>
      <c r="B2" s="143" t="s">
        <v>310</v>
      </c>
      <c r="C2" s="143" t="s">
        <v>46</v>
      </c>
      <c r="D2" s="143">
        <v>81151</v>
      </c>
      <c r="E2" s="143">
        <v>28</v>
      </c>
      <c r="F2" s="143">
        <v>5</v>
      </c>
      <c r="G2" s="143"/>
      <c r="H2" s="145" t="s">
        <v>311</v>
      </c>
      <c r="I2" s="145">
        <f>_xlfn.XLOOKUP("Cesar Rowland",B2:B82,D2:D82,"Not Avaliable")</f>
        <v>62420</v>
      </c>
      <c r="J2" s="148" t="s">
        <v>396</v>
      </c>
      <c r="K2" s="149"/>
      <c r="L2" s="149"/>
      <c r="M2" s="149"/>
      <c r="N2" s="149"/>
      <c r="O2" s="149"/>
      <c r="P2" s="149"/>
      <c r="Q2" s="143"/>
      <c r="R2" s="143"/>
      <c r="S2" s="143"/>
    </row>
    <row r="3" spans="1:19" ht="15" thickBot="1" x14ac:dyDescent="0.35">
      <c r="A3" s="143">
        <v>144</v>
      </c>
      <c r="B3" s="143" t="s">
        <v>312</v>
      </c>
      <c r="C3" s="143" t="s">
        <v>313</v>
      </c>
      <c r="D3" s="143">
        <v>44236</v>
      </c>
      <c r="E3" s="143">
        <v>32</v>
      </c>
      <c r="F3" s="143">
        <v>6</v>
      </c>
      <c r="G3" s="143"/>
      <c r="H3" s="145" t="s">
        <v>314</v>
      </c>
      <c r="I3" s="145">
        <f>SUMIFS(D2:D82,E2:E82,"&gt;30",F2:F82,"&gt;5")</f>
        <v>2381346</v>
      </c>
      <c r="J3" s="150" t="s">
        <v>397</v>
      </c>
      <c r="K3" s="136"/>
      <c r="L3" s="136"/>
      <c r="M3" s="136"/>
      <c r="N3" s="136"/>
      <c r="O3" s="136"/>
      <c r="P3" s="136"/>
      <c r="Q3" s="143"/>
      <c r="R3" s="143"/>
      <c r="S3" s="143"/>
    </row>
    <row r="4" spans="1:19" ht="14.4" customHeight="1" thickBot="1" x14ac:dyDescent="0.35">
      <c r="A4" s="143">
        <v>160</v>
      </c>
      <c r="B4" s="143" t="s">
        <v>315</v>
      </c>
      <c r="C4" s="143" t="s">
        <v>46</v>
      </c>
      <c r="D4" s="143">
        <v>67386</v>
      </c>
      <c r="E4" s="143">
        <v>25</v>
      </c>
      <c r="F4" s="143">
        <v>3</v>
      </c>
      <c r="G4" s="143"/>
      <c r="H4" s="145" t="s">
        <v>316</v>
      </c>
      <c r="I4" s="145">
        <f>IFERROR(AVERAGEIFS($D$2:$D$84,$E$2:$E$84,"&gt;30",$D$2:$D$84,"&gt;"&amp;MEDIAN(D2:D84)),"N/A")</f>
        <v>97550.965517241377</v>
      </c>
      <c r="J4" s="147" t="s">
        <v>398</v>
      </c>
      <c r="K4" s="147"/>
      <c r="L4" s="147"/>
      <c r="M4" s="147"/>
      <c r="N4" s="147"/>
      <c r="O4" s="147"/>
      <c r="P4" s="147"/>
      <c r="Q4" s="143"/>
      <c r="R4" s="143"/>
      <c r="S4" s="143"/>
    </row>
    <row r="5" spans="1:19" x14ac:dyDescent="0.3">
      <c r="A5" s="143">
        <v>155</v>
      </c>
      <c r="B5" s="143" t="s">
        <v>317</v>
      </c>
      <c r="C5" s="143" t="s">
        <v>313</v>
      </c>
      <c r="D5" s="143">
        <v>46337</v>
      </c>
      <c r="E5" s="143">
        <v>28</v>
      </c>
      <c r="F5" s="143">
        <v>7</v>
      </c>
      <c r="G5" s="143"/>
      <c r="H5" s="146"/>
      <c r="I5" s="146"/>
      <c r="J5" s="147"/>
      <c r="K5" s="147"/>
      <c r="L5" s="147"/>
      <c r="M5" s="147"/>
      <c r="N5" s="147"/>
      <c r="O5" s="147"/>
      <c r="P5" s="147"/>
      <c r="Q5" s="143"/>
      <c r="R5" s="143"/>
      <c r="S5" s="143"/>
    </row>
    <row r="6" spans="1:19" x14ac:dyDescent="0.3">
      <c r="A6" s="143">
        <v>133</v>
      </c>
      <c r="B6" s="143" t="s">
        <v>318</v>
      </c>
      <c r="C6" s="143" t="s">
        <v>319</v>
      </c>
      <c r="D6" s="143">
        <v>70319</v>
      </c>
      <c r="E6" s="143">
        <v>52</v>
      </c>
      <c r="F6" s="143">
        <v>6</v>
      </c>
      <c r="G6" s="143"/>
      <c r="H6" s="143"/>
      <c r="I6" s="151"/>
      <c r="J6" s="143"/>
      <c r="K6" s="143"/>
      <c r="L6" s="143"/>
      <c r="M6" s="143"/>
      <c r="N6" s="143"/>
      <c r="O6" s="143"/>
      <c r="P6" s="143"/>
      <c r="Q6" s="143"/>
      <c r="R6" s="143"/>
      <c r="S6" s="143"/>
    </row>
    <row r="7" spans="1:19" x14ac:dyDescent="0.3">
      <c r="A7" s="143">
        <v>141</v>
      </c>
      <c r="B7" s="143" t="s">
        <v>320</v>
      </c>
      <c r="C7" s="143" t="s">
        <v>313</v>
      </c>
      <c r="D7" s="143">
        <v>84019</v>
      </c>
      <c r="E7" s="143">
        <v>30</v>
      </c>
      <c r="F7" s="143">
        <v>5</v>
      </c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</row>
    <row r="8" spans="1:19" x14ac:dyDescent="0.3">
      <c r="A8" s="143">
        <v>143</v>
      </c>
      <c r="B8" s="143" t="s">
        <v>321</v>
      </c>
      <c r="C8" s="143" t="s">
        <v>20</v>
      </c>
      <c r="D8" s="143">
        <v>106197</v>
      </c>
      <c r="E8" s="143">
        <v>25</v>
      </c>
      <c r="F8" s="143">
        <v>6</v>
      </c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</row>
    <row r="9" spans="1:19" x14ac:dyDescent="0.3">
      <c r="A9" s="143">
        <v>165</v>
      </c>
      <c r="B9" s="143" t="s">
        <v>322</v>
      </c>
      <c r="C9" s="143" t="s">
        <v>45</v>
      </c>
      <c r="D9" s="143">
        <v>81150</v>
      </c>
      <c r="E9" s="143">
        <v>50</v>
      </c>
      <c r="F9" s="143">
        <v>10</v>
      </c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</row>
    <row r="10" spans="1:19" x14ac:dyDescent="0.3">
      <c r="A10" s="143">
        <v>119</v>
      </c>
      <c r="B10" s="143" t="s">
        <v>323</v>
      </c>
      <c r="C10" s="143" t="s">
        <v>46</v>
      </c>
      <c r="D10" s="143">
        <v>60458</v>
      </c>
      <c r="E10" s="143">
        <v>30</v>
      </c>
      <c r="F10" s="143">
        <v>12</v>
      </c>
      <c r="G10" s="143"/>
      <c r="H10" s="143"/>
      <c r="I10" s="152"/>
      <c r="J10" s="152"/>
      <c r="K10" s="152"/>
      <c r="L10" s="152"/>
      <c r="M10" s="152"/>
      <c r="N10" s="152"/>
      <c r="O10" s="143"/>
      <c r="P10" s="143"/>
      <c r="Q10" s="143"/>
      <c r="R10" s="143"/>
      <c r="S10" s="143"/>
    </row>
    <row r="11" spans="1:19" x14ac:dyDescent="0.3">
      <c r="A11" s="143">
        <v>162</v>
      </c>
      <c r="B11" s="143" t="s">
        <v>324</v>
      </c>
      <c r="C11" s="143" t="s">
        <v>232</v>
      </c>
      <c r="D11" s="143">
        <v>50880</v>
      </c>
      <c r="E11" s="143">
        <v>42</v>
      </c>
      <c r="F11" s="143">
        <v>3</v>
      </c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</row>
    <row r="12" spans="1:19" x14ac:dyDescent="0.3">
      <c r="A12" s="143">
        <v>153</v>
      </c>
      <c r="B12" s="143" t="s">
        <v>325</v>
      </c>
      <c r="C12" s="143" t="s">
        <v>319</v>
      </c>
      <c r="D12" s="143">
        <v>116406</v>
      </c>
      <c r="E12" s="143">
        <v>30</v>
      </c>
      <c r="F12" s="143">
        <v>3</v>
      </c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</row>
    <row r="13" spans="1:19" x14ac:dyDescent="0.3">
      <c r="A13" s="143">
        <v>180</v>
      </c>
      <c r="B13" s="143" t="s">
        <v>326</v>
      </c>
      <c r="C13" s="143" t="s">
        <v>20</v>
      </c>
      <c r="D13" s="143">
        <v>49898</v>
      </c>
      <c r="E13" s="143">
        <v>41</v>
      </c>
      <c r="F13" s="143">
        <v>3</v>
      </c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</row>
    <row r="14" spans="1:19" x14ac:dyDescent="0.3">
      <c r="A14" s="143">
        <v>168</v>
      </c>
      <c r="B14" s="143" t="s">
        <v>327</v>
      </c>
      <c r="C14" s="143" t="s">
        <v>45</v>
      </c>
      <c r="D14" s="143">
        <v>72278</v>
      </c>
      <c r="E14" s="143">
        <v>27</v>
      </c>
      <c r="F14" s="143">
        <v>1</v>
      </c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</row>
    <row r="15" spans="1:19" x14ac:dyDescent="0.3">
      <c r="A15" s="143">
        <v>102</v>
      </c>
      <c r="B15" s="143" t="s">
        <v>328</v>
      </c>
      <c r="C15" s="143" t="s">
        <v>46</v>
      </c>
      <c r="D15" s="143">
        <v>81112</v>
      </c>
      <c r="E15" s="143">
        <v>50</v>
      </c>
      <c r="F15" s="143">
        <v>4</v>
      </c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</row>
    <row r="16" spans="1:19" x14ac:dyDescent="0.3">
      <c r="A16" s="143">
        <v>126</v>
      </c>
      <c r="B16" s="143" t="s">
        <v>329</v>
      </c>
      <c r="C16" s="143" t="s">
        <v>313</v>
      </c>
      <c r="D16" s="143">
        <v>66131</v>
      </c>
      <c r="E16" s="143">
        <v>42</v>
      </c>
      <c r="F16" s="143">
        <v>11</v>
      </c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</row>
    <row r="17" spans="1:19" x14ac:dyDescent="0.3">
      <c r="A17" s="143">
        <v>124</v>
      </c>
      <c r="B17" s="143" t="s">
        <v>330</v>
      </c>
      <c r="C17" s="143" t="s">
        <v>319</v>
      </c>
      <c r="D17" s="143">
        <v>93953</v>
      </c>
      <c r="E17" s="143">
        <v>47</v>
      </c>
      <c r="F17" s="143">
        <v>8</v>
      </c>
      <c r="G17" s="143"/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</row>
    <row r="18" spans="1:19" x14ac:dyDescent="0.3">
      <c r="A18" s="143">
        <v>164</v>
      </c>
      <c r="B18" s="143" t="s">
        <v>331</v>
      </c>
      <c r="C18" s="143" t="s">
        <v>319</v>
      </c>
      <c r="D18" s="143">
        <v>55232</v>
      </c>
      <c r="E18" s="143">
        <v>44</v>
      </c>
      <c r="F18" s="143">
        <v>8</v>
      </c>
      <c r="G18" s="143"/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</row>
    <row r="19" spans="1:19" x14ac:dyDescent="0.3">
      <c r="A19" s="143">
        <v>156</v>
      </c>
      <c r="B19" s="143" t="s">
        <v>332</v>
      </c>
      <c r="C19" s="143" t="s">
        <v>319</v>
      </c>
      <c r="D19" s="143">
        <v>111172</v>
      </c>
      <c r="E19" s="143">
        <v>22</v>
      </c>
      <c r="F19" s="143">
        <v>5</v>
      </c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</row>
    <row r="20" spans="1:19" x14ac:dyDescent="0.3">
      <c r="A20" s="143">
        <v>132</v>
      </c>
      <c r="B20" s="143" t="s">
        <v>333</v>
      </c>
      <c r="C20" s="143" t="s">
        <v>45</v>
      </c>
      <c r="D20" s="143">
        <v>51277</v>
      </c>
      <c r="E20" s="143">
        <v>47</v>
      </c>
      <c r="F20" s="143">
        <v>12</v>
      </c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</row>
    <row r="21" spans="1:19" x14ac:dyDescent="0.3">
      <c r="A21" s="143">
        <v>125</v>
      </c>
      <c r="B21" s="143" t="s">
        <v>334</v>
      </c>
      <c r="C21" s="143" t="s">
        <v>232</v>
      </c>
      <c r="D21" s="143">
        <v>77762</v>
      </c>
      <c r="E21" s="143">
        <v>51</v>
      </c>
      <c r="F21" s="143">
        <v>5</v>
      </c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</row>
    <row r="22" spans="1:19" x14ac:dyDescent="0.3">
      <c r="A22" s="143">
        <v>157</v>
      </c>
      <c r="B22" s="143" t="s">
        <v>335</v>
      </c>
      <c r="C22" s="143" t="s">
        <v>46</v>
      </c>
      <c r="D22" s="143">
        <v>107035</v>
      </c>
      <c r="E22" s="143">
        <v>48</v>
      </c>
      <c r="F22" s="143">
        <v>4</v>
      </c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</row>
    <row r="23" spans="1:19" x14ac:dyDescent="0.3">
      <c r="A23" s="143">
        <v>146</v>
      </c>
      <c r="B23" s="143" t="s">
        <v>336</v>
      </c>
      <c r="C23" s="143" t="s">
        <v>20</v>
      </c>
      <c r="D23" s="143">
        <v>118921</v>
      </c>
      <c r="E23" s="143">
        <v>35</v>
      </c>
      <c r="F23" s="143">
        <v>10</v>
      </c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</row>
    <row r="24" spans="1:19" x14ac:dyDescent="0.3">
      <c r="A24" s="143">
        <v>140</v>
      </c>
      <c r="B24" s="143" t="s">
        <v>337</v>
      </c>
      <c r="C24" s="143" t="s">
        <v>20</v>
      </c>
      <c r="D24" s="143">
        <v>42469</v>
      </c>
      <c r="E24" s="143">
        <v>25</v>
      </c>
      <c r="F24" s="143">
        <v>2</v>
      </c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</row>
    <row r="25" spans="1:19" x14ac:dyDescent="0.3">
      <c r="A25" s="143">
        <v>147</v>
      </c>
      <c r="B25" s="143" t="s">
        <v>338</v>
      </c>
      <c r="C25" s="143" t="s">
        <v>20</v>
      </c>
      <c r="D25" s="143">
        <v>69352</v>
      </c>
      <c r="E25" s="143">
        <v>37</v>
      </c>
      <c r="F25" s="143">
        <v>8</v>
      </c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</row>
    <row r="26" spans="1:19" x14ac:dyDescent="0.3">
      <c r="A26" s="143">
        <v>151</v>
      </c>
      <c r="B26" s="143" t="s">
        <v>339</v>
      </c>
      <c r="C26" s="143" t="s">
        <v>232</v>
      </c>
      <c r="D26" s="143">
        <v>64642</v>
      </c>
      <c r="E26" s="143">
        <v>45</v>
      </c>
      <c r="F26" s="143">
        <v>3</v>
      </c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</row>
    <row r="27" spans="1:19" x14ac:dyDescent="0.3">
      <c r="A27" s="143">
        <v>134</v>
      </c>
      <c r="B27" s="143" t="s">
        <v>340</v>
      </c>
      <c r="C27" s="143" t="s">
        <v>319</v>
      </c>
      <c r="D27" s="143">
        <v>107700</v>
      </c>
      <c r="E27" s="143">
        <v>38</v>
      </c>
      <c r="F27" s="143">
        <v>1</v>
      </c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</row>
    <row r="28" spans="1:19" x14ac:dyDescent="0.3">
      <c r="A28" s="143">
        <v>121</v>
      </c>
      <c r="B28" s="143" t="s">
        <v>341</v>
      </c>
      <c r="C28" s="143" t="s">
        <v>20</v>
      </c>
      <c r="D28" s="143">
        <v>86458</v>
      </c>
      <c r="E28" s="143">
        <v>32</v>
      </c>
      <c r="F28" s="143">
        <v>5</v>
      </c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</row>
    <row r="29" spans="1:19" x14ac:dyDescent="0.3">
      <c r="A29" s="143">
        <v>148</v>
      </c>
      <c r="B29" s="143" t="s">
        <v>342</v>
      </c>
      <c r="C29" s="143" t="s">
        <v>232</v>
      </c>
      <c r="D29" s="143">
        <v>72126</v>
      </c>
      <c r="E29" s="143">
        <v>42</v>
      </c>
      <c r="F29" s="143">
        <v>10</v>
      </c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</row>
    <row r="30" spans="1:19" x14ac:dyDescent="0.3">
      <c r="A30" s="143">
        <v>129</v>
      </c>
      <c r="B30" s="143" t="s">
        <v>343</v>
      </c>
      <c r="C30" s="143" t="s">
        <v>20</v>
      </c>
      <c r="D30" s="143">
        <v>119319</v>
      </c>
      <c r="E30" s="143">
        <v>45</v>
      </c>
      <c r="F30" s="143">
        <v>10</v>
      </c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</row>
    <row r="31" spans="1:19" x14ac:dyDescent="0.3">
      <c r="A31" s="143">
        <v>110</v>
      </c>
      <c r="B31" s="143" t="s">
        <v>344</v>
      </c>
      <c r="C31" s="143" t="s">
        <v>45</v>
      </c>
      <c r="D31" s="143">
        <v>101162</v>
      </c>
      <c r="E31" s="143">
        <v>33</v>
      </c>
      <c r="F31" s="143">
        <v>4</v>
      </c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</row>
    <row r="32" spans="1:19" x14ac:dyDescent="0.3">
      <c r="A32" s="143">
        <v>150</v>
      </c>
      <c r="B32" s="143" t="s">
        <v>345</v>
      </c>
      <c r="C32" s="143" t="s">
        <v>46</v>
      </c>
      <c r="D32" s="143">
        <v>75000</v>
      </c>
      <c r="E32" s="143">
        <v>32</v>
      </c>
      <c r="F32" s="143">
        <v>12</v>
      </c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</row>
    <row r="33" spans="1:19" x14ac:dyDescent="0.3">
      <c r="A33" s="143">
        <v>117</v>
      </c>
      <c r="B33" s="143" t="s">
        <v>346</v>
      </c>
      <c r="C33" s="143" t="s">
        <v>20</v>
      </c>
      <c r="D33" s="143">
        <v>81912</v>
      </c>
      <c r="E33" s="143">
        <v>38</v>
      </c>
      <c r="F33" s="143">
        <v>9</v>
      </c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</row>
    <row r="34" spans="1:19" x14ac:dyDescent="0.3">
      <c r="A34" s="143">
        <v>122</v>
      </c>
      <c r="B34" s="143" t="s">
        <v>347</v>
      </c>
      <c r="C34" s="143" t="s">
        <v>319</v>
      </c>
      <c r="D34" s="143">
        <v>111337</v>
      </c>
      <c r="E34" s="143">
        <v>50</v>
      </c>
      <c r="F34" s="143">
        <v>8</v>
      </c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</row>
    <row r="35" spans="1:19" x14ac:dyDescent="0.3">
      <c r="A35" s="143">
        <v>101</v>
      </c>
      <c r="B35" s="143" t="s">
        <v>348</v>
      </c>
      <c r="C35" s="143" t="s">
        <v>20</v>
      </c>
      <c r="D35" s="143">
        <v>53517</v>
      </c>
      <c r="E35" s="143">
        <v>44</v>
      </c>
      <c r="F35" s="143">
        <v>4</v>
      </c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</row>
    <row r="36" spans="1:19" x14ac:dyDescent="0.3">
      <c r="A36" s="143">
        <v>131</v>
      </c>
      <c r="B36" s="143" t="s">
        <v>349</v>
      </c>
      <c r="C36" s="143" t="s">
        <v>319</v>
      </c>
      <c r="D36" s="143">
        <v>96166</v>
      </c>
      <c r="E36" s="143">
        <v>29</v>
      </c>
      <c r="F36" s="143">
        <v>2</v>
      </c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</row>
    <row r="37" spans="1:19" x14ac:dyDescent="0.3">
      <c r="A37" s="143">
        <v>111</v>
      </c>
      <c r="B37" s="143" t="s">
        <v>350</v>
      </c>
      <c r="C37" s="143" t="s">
        <v>232</v>
      </c>
      <c r="D37" s="143">
        <v>115444</v>
      </c>
      <c r="E37" s="143">
        <v>27</v>
      </c>
      <c r="F37" s="143">
        <v>2</v>
      </c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</row>
    <row r="38" spans="1:19" x14ac:dyDescent="0.3">
      <c r="A38" s="143">
        <v>154</v>
      </c>
      <c r="B38" s="143" t="s">
        <v>351</v>
      </c>
      <c r="C38" s="143" t="s">
        <v>20</v>
      </c>
      <c r="D38" s="143">
        <v>65000</v>
      </c>
      <c r="E38" s="143">
        <v>23</v>
      </c>
      <c r="F38" s="143">
        <v>11</v>
      </c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</row>
    <row r="39" spans="1:19" x14ac:dyDescent="0.3">
      <c r="A39" s="143">
        <v>177</v>
      </c>
      <c r="B39" s="143" t="s">
        <v>352</v>
      </c>
      <c r="C39" s="143" t="s">
        <v>313</v>
      </c>
      <c r="D39" s="143">
        <v>44179</v>
      </c>
      <c r="E39" s="143">
        <v>49</v>
      </c>
      <c r="F39" s="143">
        <v>8</v>
      </c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</row>
    <row r="40" spans="1:19" x14ac:dyDescent="0.3">
      <c r="A40" s="143">
        <v>120</v>
      </c>
      <c r="B40" s="143" t="s">
        <v>353</v>
      </c>
      <c r="C40" s="143" t="s">
        <v>319</v>
      </c>
      <c r="D40" s="143">
        <v>108533</v>
      </c>
      <c r="E40" s="143">
        <v>35</v>
      </c>
      <c r="F40" s="143">
        <v>1</v>
      </c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</row>
    <row r="41" spans="1:19" x14ac:dyDescent="0.3">
      <c r="A41" s="143">
        <v>123</v>
      </c>
      <c r="B41" s="143" t="s">
        <v>354</v>
      </c>
      <c r="C41" s="143" t="s">
        <v>45</v>
      </c>
      <c r="D41" s="143">
        <v>49685</v>
      </c>
      <c r="E41" s="143">
        <v>43</v>
      </c>
      <c r="F41" s="143">
        <v>10</v>
      </c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</row>
    <row r="42" spans="1:19" x14ac:dyDescent="0.3">
      <c r="A42" s="143">
        <v>173</v>
      </c>
      <c r="B42" s="143" t="s">
        <v>355</v>
      </c>
      <c r="C42" s="143" t="s">
        <v>232</v>
      </c>
      <c r="D42" s="143">
        <v>65893</v>
      </c>
      <c r="E42" s="143">
        <v>35</v>
      </c>
      <c r="F42" s="143">
        <v>12</v>
      </c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</row>
    <row r="43" spans="1:19" x14ac:dyDescent="0.3">
      <c r="A43" s="143">
        <v>115</v>
      </c>
      <c r="B43" s="143" t="s">
        <v>356</v>
      </c>
      <c r="C43" s="143" t="s">
        <v>46</v>
      </c>
      <c r="D43" s="143">
        <v>95842</v>
      </c>
      <c r="E43" s="143">
        <v>49</v>
      </c>
      <c r="F43" s="143">
        <v>11</v>
      </c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</row>
    <row r="44" spans="1:19" x14ac:dyDescent="0.3">
      <c r="A44" s="143">
        <v>170</v>
      </c>
      <c r="B44" s="143" t="s">
        <v>357</v>
      </c>
      <c r="C44" s="143" t="s">
        <v>20</v>
      </c>
      <c r="D44" s="143">
        <v>103228</v>
      </c>
      <c r="E44" s="143">
        <v>33</v>
      </c>
      <c r="F44" s="143">
        <v>10</v>
      </c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</row>
    <row r="45" spans="1:19" x14ac:dyDescent="0.3">
      <c r="A45" s="143">
        <v>135</v>
      </c>
      <c r="B45" s="143" t="s">
        <v>358</v>
      </c>
      <c r="C45" s="143" t="s">
        <v>45</v>
      </c>
      <c r="D45" s="143">
        <v>50441</v>
      </c>
      <c r="E45" s="143">
        <v>28</v>
      </c>
      <c r="F45" s="143">
        <v>6</v>
      </c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</row>
    <row r="46" spans="1:19" x14ac:dyDescent="0.3">
      <c r="A46" s="143">
        <v>174</v>
      </c>
      <c r="B46" s="143" t="s">
        <v>359</v>
      </c>
      <c r="C46" s="143" t="s">
        <v>46</v>
      </c>
      <c r="D46" s="143">
        <v>59472</v>
      </c>
      <c r="E46" s="143">
        <v>26</v>
      </c>
      <c r="F46" s="143">
        <v>10</v>
      </c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</row>
    <row r="47" spans="1:19" x14ac:dyDescent="0.3">
      <c r="A47" s="143">
        <v>103</v>
      </c>
      <c r="B47" s="143" t="s">
        <v>360</v>
      </c>
      <c r="C47" s="143" t="s">
        <v>20</v>
      </c>
      <c r="D47" s="143">
        <v>71452</v>
      </c>
      <c r="E47" s="143">
        <v>34</v>
      </c>
      <c r="F47" s="143">
        <v>12</v>
      </c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</row>
    <row r="48" spans="1:19" x14ac:dyDescent="0.3">
      <c r="A48" s="143">
        <v>149</v>
      </c>
      <c r="B48" s="143" t="s">
        <v>361</v>
      </c>
      <c r="C48" s="143" t="s">
        <v>45</v>
      </c>
      <c r="D48" s="143">
        <v>46918</v>
      </c>
      <c r="E48" s="143">
        <v>50</v>
      </c>
      <c r="F48" s="143">
        <v>3</v>
      </c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</row>
    <row r="49" spans="1:19" x14ac:dyDescent="0.3">
      <c r="A49" s="143">
        <v>171</v>
      </c>
      <c r="B49" s="143" t="s">
        <v>362</v>
      </c>
      <c r="C49" s="143" t="s">
        <v>46</v>
      </c>
      <c r="D49" s="143">
        <v>65133</v>
      </c>
      <c r="E49" s="143">
        <v>41</v>
      </c>
      <c r="F49" s="143">
        <v>9</v>
      </c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</row>
    <row r="50" spans="1:19" ht="27.6" x14ac:dyDescent="0.3">
      <c r="A50" s="143">
        <v>159</v>
      </c>
      <c r="B50" s="143" t="s">
        <v>363</v>
      </c>
      <c r="C50" s="143" t="s">
        <v>232</v>
      </c>
      <c r="D50" s="143">
        <v>112870</v>
      </c>
      <c r="E50" s="143">
        <v>41</v>
      </c>
      <c r="F50" s="143">
        <v>1</v>
      </c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</row>
    <row r="51" spans="1:19" x14ac:dyDescent="0.3">
      <c r="A51" s="143">
        <v>107</v>
      </c>
      <c r="B51" s="143" t="s">
        <v>364</v>
      </c>
      <c r="C51" s="143" t="s">
        <v>313</v>
      </c>
      <c r="D51" s="143">
        <v>62176</v>
      </c>
      <c r="E51" s="143">
        <v>40</v>
      </c>
      <c r="F51" s="143">
        <v>11</v>
      </c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</row>
    <row r="52" spans="1:19" x14ac:dyDescent="0.3">
      <c r="A52" s="143">
        <v>158</v>
      </c>
      <c r="B52" s="143" t="s">
        <v>365</v>
      </c>
      <c r="C52" s="143" t="s">
        <v>45</v>
      </c>
      <c r="D52" s="143">
        <v>53061</v>
      </c>
      <c r="E52" s="143">
        <v>32</v>
      </c>
      <c r="F52" s="143">
        <v>7</v>
      </c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</row>
    <row r="53" spans="1:19" x14ac:dyDescent="0.3">
      <c r="A53" s="143">
        <v>142</v>
      </c>
      <c r="B53" s="143" t="s">
        <v>366</v>
      </c>
      <c r="C53" s="143" t="s">
        <v>313</v>
      </c>
      <c r="D53" s="143">
        <v>94691</v>
      </c>
      <c r="E53" s="143">
        <v>41</v>
      </c>
      <c r="F53" s="143">
        <v>4</v>
      </c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</row>
    <row r="54" spans="1:19" x14ac:dyDescent="0.3">
      <c r="A54" s="143">
        <v>178</v>
      </c>
      <c r="B54" s="143" t="s">
        <v>367</v>
      </c>
      <c r="C54" s="143" t="s">
        <v>232</v>
      </c>
      <c r="D54" s="143">
        <v>63352</v>
      </c>
      <c r="E54" s="143">
        <v>28</v>
      </c>
      <c r="F54" s="143">
        <v>3</v>
      </c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</row>
    <row r="55" spans="1:19" x14ac:dyDescent="0.3">
      <c r="A55" s="143">
        <v>127</v>
      </c>
      <c r="B55" s="143" t="s">
        <v>368</v>
      </c>
      <c r="C55" s="143" t="s">
        <v>313</v>
      </c>
      <c r="D55" s="143">
        <v>43124</v>
      </c>
      <c r="E55" s="143">
        <v>24</v>
      </c>
      <c r="F55" s="143">
        <v>3</v>
      </c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</row>
    <row r="56" spans="1:19" x14ac:dyDescent="0.3">
      <c r="A56" s="143">
        <v>116</v>
      </c>
      <c r="B56" s="143" t="s">
        <v>369</v>
      </c>
      <c r="C56" s="143" t="s">
        <v>46</v>
      </c>
      <c r="D56" s="143">
        <v>40700</v>
      </c>
      <c r="E56" s="143">
        <v>32</v>
      </c>
      <c r="F56" s="143">
        <v>4</v>
      </c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</row>
    <row r="57" spans="1:19" x14ac:dyDescent="0.3">
      <c r="A57" s="143">
        <v>114</v>
      </c>
      <c r="B57" s="143" t="s">
        <v>370</v>
      </c>
      <c r="C57" s="143" t="s">
        <v>45</v>
      </c>
      <c r="D57" s="143">
        <v>104015</v>
      </c>
      <c r="E57" s="143">
        <v>40</v>
      </c>
      <c r="F57" s="143">
        <v>1</v>
      </c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</row>
    <row r="58" spans="1:19" x14ac:dyDescent="0.3">
      <c r="A58" s="143">
        <v>137</v>
      </c>
      <c r="B58" s="143" t="s">
        <v>371</v>
      </c>
      <c r="C58" s="143" t="s">
        <v>45</v>
      </c>
      <c r="D58" s="143">
        <v>55000</v>
      </c>
      <c r="E58" s="143">
        <v>38</v>
      </c>
      <c r="F58" s="143">
        <v>3</v>
      </c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</row>
    <row r="59" spans="1:19" x14ac:dyDescent="0.3">
      <c r="A59" s="143">
        <v>161</v>
      </c>
      <c r="B59" s="143" t="s">
        <v>372</v>
      </c>
      <c r="C59" s="143" t="s">
        <v>232</v>
      </c>
      <c r="D59" s="143">
        <v>75486</v>
      </c>
      <c r="E59" s="143">
        <v>38</v>
      </c>
      <c r="F59" s="143">
        <v>2</v>
      </c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</row>
    <row r="60" spans="1:19" x14ac:dyDescent="0.3">
      <c r="A60" s="143">
        <v>128</v>
      </c>
      <c r="B60" s="143" t="s">
        <v>373</v>
      </c>
      <c r="C60" s="143" t="s">
        <v>46</v>
      </c>
      <c r="D60" s="143">
        <v>105503</v>
      </c>
      <c r="E60" s="143">
        <v>46</v>
      </c>
      <c r="F60" s="143">
        <v>3</v>
      </c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</row>
    <row r="61" spans="1:19" x14ac:dyDescent="0.3">
      <c r="A61" s="143">
        <v>167</v>
      </c>
      <c r="B61" s="143" t="s">
        <v>374</v>
      </c>
      <c r="C61" s="143" t="s">
        <v>319</v>
      </c>
      <c r="D61" s="143">
        <v>117330</v>
      </c>
      <c r="E61" s="143">
        <v>47</v>
      </c>
      <c r="F61" s="143">
        <v>11</v>
      </c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</row>
    <row r="62" spans="1:19" x14ac:dyDescent="0.3">
      <c r="A62" s="143">
        <v>172</v>
      </c>
      <c r="B62" s="143" t="s">
        <v>375</v>
      </c>
      <c r="C62" s="143" t="s">
        <v>313</v>
      </c>
      <c r="D62" s="143">
        <v>87168</v>
      </c>
      <c r="E62" s="143">
        <v>36</v>
      </c>
      <c r="F62" s="143">
        <v>2</v>
      </c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</row>
    <row r="63" spans="1:19" x14ac:dyDescent="0.3">
      <c r="A63" s="143">
        <v>169</v>
      </c>
      <c r="B63" s="143" t="s">
        <v>376</v>
      </c>
      <c r="C63" s="143" t="s">
        <v>46</v>
      </c>
      <c r="D63" s="143">
        <v>113106</v>
      </c>
      <c r="E63" s="143">
        <v>46</v>
      </c>
      <c r="F63" s="143">
        <v>2</v>
      </c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</row>
    <row r="64" spans="1:19" x14ac:dyDescent="0.3">
      <c r="A64" s="143">
        <v>152</v>
      </c>
      <c r="B64" s="143" t="s">
        <v>377</v>
      </c>
      <c r="C64" s="143" t="s">
        <v>232</v>
      </c>
      <c r="D64" s="143">
        <v>100483</v>
      </c>
      <c r="E64" s="143">
        <v>35</v>
      </c>
      <c r="F64" s="143">
        <v>10</v>
      </c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</row>
    <row r="65" spans="1:19" x14ac:dyDescent="0.3">
      <c r="A65" s="143">
        <v>179</v>
      </c>
      <c r="B65" s="143" t="s">
        <v>378</v>
      </c>
      <c r="C65" s="143" t="s">
        <v>319</v>
      </c>
      <c r="D65" s="143">
        <v>62841</v>
      </c>
      <c r="E65" s="143">
        <v>33</v>
      </c>
      <c r="F65" s="143">
        <v>10</v>
      </c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</row>
    <row r="66" spans="1:19" x14ac:dyDescent="0.3">
      <c r="A66" s="143">
        <v>104</v>
      </c>
      <c r="B66" s="143" t="s">
        <v>379</v>
      </c>
      <c r="C66" s="143" t="s">
        <v>45</v>
      </c>
      <c r="D66" s="143">
        <v>72493</v>
      </c>
      <c r="E66" s="143">
        <v>36</v>
      </c>
      <c r="F66" s="143">
        <v>2</v>
      </c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</row>
    <row r="67" spans="1:19" x14ac:dyDescent="0.3">
      <c r="A67" s="143">
        <v>181</v>
      </c>
      <c r="B67" s="143" t="s">
        <v>380</v>
      </c>
      <c r="C67" s="143" t="s">
        <v>45</v>
      </c>
      <c r="D67" s="143">
        <v>110158</v>
      </c>
      <c r="E67" s="143">
        <v>22</v>
      </c>
      <c r="F67" s="143">
        <v>11</v>
      </c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</row>
    <row r="68" spans="1:19" x14ac:dyDescent="0.3">
      <c r="A68" s="143">
        <v>176</v>
      </c>
      <c r="B68" s="143" t="s">
        <v>381</v>
      </c>
      <c r="C68" s="143" t="s">
        <v>45</v>
      </c>
      <c r="D68" s="143">
        <v>40278</v>
      </c>
      <c r="E68" s="143">
        <v>28</v>
      </c>
      <c r="F68" s="143">
        <v>5</v>
      </c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</row>
    <row r="69" spans="1:19" x14ac:dyDescent="0.3">
      <c r="A69" s="143">
        <v>139</v>
      </c>
      <c r="B69" s="143" t="s">
        <v>382</v>
      </c>
      <c r="C69" s="143" t="s">
        <v>46</v>
      </c>
      <c r="D69" s="143">
        <v>83229</v>
      </c>
      <c r="E69" s="143">
        <v>45</v>
      </c>
      <c r="F69" s="143">
        <v>4</v>
      </c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</row>
    <row r="70" spans="1:19" x14ac:dyDescent="0.3">
      <c r="A70" s="143">
        <v>166</v>
      </c>
      <c r="B70" s="143" t="s">
        <v>383</v>
      </c>
      <c r="C70" s="143" t="s">
        <v>313</v>
      </c>
      <c r="D70" s="143">
        <v>61845</v>
      </c>
      <c r="E70" s="143">
        <v>43</v>
      </c>
      <c r="F70" s="143">
        <v>8</v>
      </c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</row>
    <row r="71" spans="1:19" x14ac:dyDescent="0.3">
      <c r="A71" s="143">
        <v>109</v>
      </c>
      <c r="B71" s="143" t="s">
        <v>384</v>
      </c>
      <c r="C71" s="143" t="s">
        <v>313</v>
      </c>
      <c r="D71" s="143">
        <v>113709</v>
      </c>
      <c r="E71" s="143">
        <v>26</v>
      </c>
      <c r="F71" s="143">
        <v>9</v>
      </c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</row>
    <row r="72" spans="1:19" x14ac:dyDescent="0.3">
      <c r="A72" s="143">
        <v>105</v>
      </c>
      <c r="B72" s="143" t="s">
        <v>385</v>
      </c>
      <c r="C72" s="143" t="s">
        <v>46</v>
      </c>
      <c r="D72" s="143">
        <v>73996</v>
      </c>
      <c r="E72" s="143">
        <v>29</v>
      </c>
      <c r="F72" s="143">
        <v>11</v>
      </c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</row>
    <row r="73" spans="1:19" x14ac:dyDescent="0.3">
      <c r="A73" s="143">
        <v>108</v>
      </c>
      <c r="B73" s="143" t="s">
        <v>386</v>
      </c>
      <c r="C73" s="143" t="s">
        <v>20</v>
      </c>
      <c r="D73" s="143">
        <v>83372</v>
      </c>
      <c r="E73" s="143">
        <v>33</v>
      </c>
      <c r="F73" s="143">
        <v>5</v>
      </c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</row>
    <row r="74" spans="1:19" x14ac:dyDescent="0.3">
      <c r="A74" s="143">
        <v>145</v>
      </c>
      <c r="B74" s="143" t="s">
        <v>387</v>
      </c>
      <c r="C74" s="143" t="s">
        <v>313</v>
      </c>
      <c r="D74" s="143">
        <v>43137</v>
      </c>
      <c r="E74" s="143">
        <v>36</v>
      </c>
      <c r="F74" s="143">
        <v>11</v>
      </c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</row>
    <row r="75" spans="1:19" x14ac:dyDescent="0.3">
      <c r="A75" s="143">
        <v>113</v>
      </c>
      <c r="B75" s="143" t="s">
        <v>388</v>
      </c>
      <c r="C75" s="143" t="s">
        <v>232</v>
      </c>
      <c r="D75" s="143">
        <v>62420</v>
      </c>
      <c r="E75" s="143">
        <v>27</v>
      </c>
      <c r="F75" s="143">
        <v>5</v>
      </c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</row>
    <row r="76" spans="1:19" x14ac:dyDescent="0.3">
      <c r="A76" s="143">
        <v>163</v>
      </c>
      <c r="B76" s="143" t="s">
        <v>389</v>
      </c>
      <c r="C76" s="143" t="s">
        <v>319</v>
      </c>
      <c r="D76" s="143">
        <v>67321</v>
      </c>
      <c r="E76" s="143">
        <v>46</v>
      </c>
      <c r="F76" s="143">
        <v>4</v>
      </c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</row>
    <row r="77" spans="1:19" x14ac:dyDescent="0.3">
      <c r="A77" s="143">
        <v>130</v>
      </c>
      <c r="B77" s="143" t="s">
        <v>390</v>
      </c>
      <c r="C77" s="143" t="s">
        <v>319</v>
      </c>
      <c r="D77" s="143">
        <v>46890</v>
      </c>
      <c r="E77" s="143">
        <v>34</v>
      </c>
      <c r="F77" s="143">
        <v>3</v>
      </c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</row>
    <row r="78" spans="1:19" x14ac:dyDescent="0.3">
      <c r="A78" s="143">
        <v>138</v>
      </c>
      <c r="B78" s="143" t="s">
        <v>391</v>
      </c>
      <c r="C78" s="143" t="s">
        <v>232</v>
      </c>
      <c r="D78" s="143">
        <v>96858</v>
      </c>
      <c r="E78" s="143">
        <v>36</v>
      </c>
      <c r="F78" s="143">
        <v>11</v>
      </c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</row>
    <row r="79" spans="1:19" x14ac:dyDescent="0.3">
      <c r="A79" s="143">
        <v>106</v>
      </c>
      <c r="B79" s="143" t="s">
        <v>392</v>
      </c>
      <c r="C79" s="143" t="s">
        <v>232</v>
      </c>
      <c r="D79" s="143">
        <v>104443</v>
      </c>
      <c r="E79" s="143">
        <v>52</v>
      </c>
      <c r="F79" s="143">
        <v>6</v>
      </c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</row>
    <row r="80" spans="1:19" x14ac:dyDescent="0.3">
      <c r="A80" s="143">
        <v>175</v>
      </c>
      <c r="B80" s="143" t="s">
        <v>393</v>
      </c>
      <c r="C80" s="143" t="s">
        <v>232</v>
      </c>
      <c r="D80" s="143">
        <v>73495</v>
      </c>
      <c r="E80" s="143">
        <v>51</v>
      </c>
      <c r="F80" s="143">
        <v>7</v>
      </c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</row>
    <row r="81" spans="1:19" x14ac:dyDescent="0.3">
      <c r="A81" s="143">
        <v>112</v>
      </c>
      <c r="B81" s="143" t="s">
        <v>394</v>
      </c>
      <c r="C81" s="143" t="s">
        <v>313</v>
      </c>
      <c r="D81" s="143">
        <v>73577</v>
      </c>
      <c r="E81" s="143">
        <v>24</v>
      </c>
      <c r="F81" s="143">
        <v>4</v>
      </c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</row>
    <row r="82" spans="1:19" x14ac:dyDescent="0.3">
      <c r="A82" s="143">
        <v>136</v>
      </c>
      <c r="B82" s="143" t="s">
        <v>395</v>
      </c>
      <c r="C82" s="143" t="s">
        <v>45</v>
      </c>
      <c r="D82" s="143">
        <v>71474</v>
      </c>
      <c r="E82" s="143">
        <v>30</v>
      </c>
      <c r="F82" s="143">
        <v>2</v>
      </c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</row>
  </sheetData>
  <mergeCells count="3">
    <mergeCell ref="I10:N10"/>
    <mergeCell ref="J2:P2"/>
    <mergeCell ref="J4:P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BA1CB-F4D8-4448-91F0-155160A6A3B9}">
  <dimension ref="A1:P82"/>
  <sheetViews>
    <sheetView tabSelected="1" workbookViewId="0">
      <selection activeCell="I2" sqref="I2"/>
    </sheetView>
  </sheetViews>
  <sheetFormatPr defaultRowHeight="13.8" x14ac:dyDescent="0.3"/>
  <cols>
    <col min="1" max="1" width="10.5546875" style="65" bestFit="1" customWidth="1"/>
    <col min="2" max="2" width="17.77734375" style="65" bestFit="1" customWidth="1"/>
    <col min="3" max="3" width="27" style="65" customWidth="1"/>
    <col min="4" max="4" width="7.77734375" style="65" bestFit="1" customWidth="1"/>
    <col min="5" max="5" width="11.109375" style="65" customWidth="1"/>
    <col min="6" max="6" width="17.21875" style="65" customWidth="1"/>
    <col min="7" max="7" width="8.88671875" style="65"/>
    <col min="8" max="8" width="13.88671875" style="65" customWidth="1"/>
    <col min="9" max="9" width="20.33203125" style="65" customWidth="1"/>
    <col min="10" max="10" width="13.88671875" style="65" customWidth="1"/>
    <col min="11" max="16384" width="8.88671875" style="65"/>
  </cols>
  <sheetData>
    <row r="1" spans="1:16" ht="14.4" thickBot="1" x14ac:dyDescent="0.35">
      <c r="A1" s="153" t="s">
        <v>399</v>
      </c>
      <c r="B1" s="153" t="s">
        <v>226</v>
      </c>
      <c r="C1" s="153" t="s">
        <v>20</v>
      </c>
      <c r="D1" s="153" t="s">
        <v>61</v>
      </c>
      <c r="E1" s="153" t="s">
        <v>400</v>
      </c>
      <c r="F1" s="153" t="s">
        <v>401</v>
      </c>
      <c r="G1" s="59"/>
      <c r="H1" s="154" t="s">
        <v>21</v>
      </c>
      <c r="I1" s="154" t="s">
        <v>4</v>
      </c>
    </row>
    <row r="2" spans="1:16" ht="14.4" customHeight="1" thickBot="1" x14ac:dyDescent="0.35">
      <c r="A2" s="153" t="s">
        <v>402</v>
      </c>
      <c r="B2" s="153" t="s">
        <v>358</v>
      </c>
      <c r="C2" s="153" t="s">
        <v>403</v>
      </c>
      <c r="D2" s="153">
        <v>5</v>
      </c>
      <c r="E2" s="153">
        <v>3393</v>
      </c>
      <c r="F2" s="153" t="s">
        <v>404</v>
      </c>
      <c r="G2" s="59"/>
      <c r="H2" s="61" t="s">
        <v>311</v>
      </c>
      <c r="I2" s="61" t="str">
        <f>_xlfn.XLOOKUP("C003",A2:A82,C2:C82,"Customer not found")</f>
        <v>Samsung 65-inch TV</v>
      </c>
      <c r="J2" s="153" t="s">
        <v>607</v>
      </c>
      <c r="K2" s="153"/>
      <c r="L2" s="153"/>
      <c r="M2" s="153"/>
      <c r="N2" s="153"/>
      <c r="O2" s="153"/>
      <c r="P2" s="153"/>
    </row>
    <row r="3" spans="1:16" x14ac:dyDescent="0.3">
      <c r="A3" s="153" t="s">
        <v>405</v>
      </c>
      <c r="B3" s="153" t="s">
        <v>353</v>
      </c>
      <c r="C3" s="153" t="s">
        <v>406</v>
      </c>
      <c r="D3" s="153">
        <v>8</v>
      </c>
      <c r="E3" s="153">
        <v>28829</v>
      </c>
      <c r="F3" s="153" t="s">
        <v>407</v>
      </c>
      <c r="G3" s="59"/>
      <c r="H3" s="59"/>
      <c r="I3" s="59"/>
      <c r="J3" s="153"/>
      <c r="K3" s="153"/>
      <c r="L3" s="153"/>
      <c r="M3" s="153"/>
      <c r="N3" s="153"/>
      <c r="O3" s="153"/>
      <c r="P3" s="153"/>
    </row>
    <row r="4" spans="1:16" x14ac:dyDescent="0.3">
      <c r="A4" s="153" t="s">
        <v>408</v>
      </c>
      <c r="B4" s="153" t="s">
        <v>359</v>
      </c>
      <c r="C4" s="153" t="s">
        <v>409</v>
      </c>
      <c r="D4" s="153">
        <v>14</v>
      </c>
      <c r="E4" s="153">
        <v>1332</v>
      </c>
      <c r="F4" s="155">
        <v>45507</v>
      </c>
      <c r="G4" s="59"/>
      <c r="H4" s="59"/>
      <c r="I4" s="59"/>
    </row>
    <row r="5" spans="1:16" x14ac:dyDescent="0.3">
      <c r="A5" s="153" t="s">
        <v>410</v>
      </c>
      <c r="B5" s="153" t="s">
        <v>371</v>
      </c>
      <c r="C5" s="153" t="s">
        <v>411</v>
      </c>
      <c r="D5" s="153">
        <v>6</v>
      </c>
      <c r="E5" s="153">
        <v>6398</v>
      </c>
      <c r="F5" s="153" t="s">
        <v>412</v>
      </c>
      <c r="G5" s="59"/>
      <c r="H5" s="59"/>
      <c r="I5" s="59"/>
    </row>
    <row r="6" spans="1:16" x14ac:dyDescent="0.3">
      <c r="A6" s="153" t="s">
        <v>413</v>
      </c>
      <c r="B6" s="153" t="s">
        <v>373</v>
      </c>
      <c r="C6" s="153" t="s">
        <v>414</v>
      </c>
      <c r="D6" s="153">
        <v>21</v>
      </c>
      <c r="E6" s="153">
        <v>13559</v>
      </c>
      <c r="F6" s="155">
        <v>45539</v>
      </c>
      <c r="G6" s="59"/>
      <c r="H6" s="59"/>
      <c r="I6" s="59"/>
    </row>
    <row r="7" spans="1:16" x14ac:dyDescent="0.3">
      <c r="A7" s="153" t="s">
        <v>415</v>
      </c>
      <c r="B7" s="153" t="s">
        <v>340</v>
      </c>
      <c r="C7" s="153" t="s">
        <v>416</v>
      </c>
      <c r="D7" s="153">
        <v>2</v>
      </c>
      <c r="E7" s="153">
        <v>11857</v>
      </c>
      <c r="F7" s="155">
        <v>45630</v>
      </c>
      <c r="G7" s="59"/>
      <c r="H7" s="59"/>
      <c r="I7" s="59"/>
    </row>
    <row r="8" spans="1:16" x14ac:dyDescent="0.3">
      <c r="A8" s="153" t="s">
        <v>417</v>
      </c>
      <c r="B8" s="153" t="s">
        <v>325</v>
      </c>
      <c r="C8" s="153" t="s">
        <v>418</v>
      </c>
      <c r="D8" s="153">
        <v>20</v>
      </c>
      <c r="E8" s="153">
        <v>22158</v>
      </c>
      <c r="F8" s="155">
        <v>45600</v>
      </c>
      <c r="G8" s="59"/>
      <c r="H8" s="59"/>
      <c r="I8" s="59"/>
    </row>
    <row r="9" spans="1:16" x14ac:dyDescent="0.3">
      <c r="A9" s="153" t="s">
        <v>419</v>
      </c>
      <c r="B9" s="153" t="s">
        <v>334</v>
      </c>
      <c r="C9" s="153" t="s">
        <v>420</v>
      </c>
      <c r="D9" s="153">
        <v>14</v>
      </c>
      <c r="E9" s="153">
        <v>8930</v>
      </c>
      <c r="F9" s="153" t="s">
        <v>421</v>
      </c>
      <c r="G9" s="59"/>
      <c r="H9" s="59"/>
      <c r="I9" s="59"/>
    </row>
    <row r="10" spans="1:16" x14ac:dyDescent="0.3">
      <c r="A10" s="153" t="s">
        <v>422</v>
      </c>
      <c r="B10" s="153" t="s">
        <v>337</v>
      </c>
      <c r="C10" s="153" t="s">
        <v>423</v>
      </c>
      <c r="D10" s="153">
        <v>23</v>
      </c>
      <c r="E10" s="153">
        <v>20775</v>
      </c>
      <c r="F10" s="153" t="s">
        <v>424</v>
      </c>
      <c r="G10" s="59"/>
      <c r="H10" s="59"/>
      <c r="I10" s="59"/>
    </row>
    <row r="11" spans="1:16" x14ac:dyDescent="0.3">
      <c r="A11" s="153" t="s">
        <v>425</v>
      </c>
      <c r="B11" s="153" t="s">
        <v>348</v>
      </c>
      <c r="C11" s="153" t="s">
        <v>426</v>
      </c>
      <c r="D11" s="153">
        <v>8</v>
      </c>
      <c r="E11" s="153">
        <v>26866</v>
      </c>
      <c r="F11" s="153" t="s">
        <v>427</v>
      </c>
      <c r="G11" s="59"/>
      <c r="H11" s="59"/>
      <c r="I11" s="59"/>
    </row>
    <row r="12" spans="1:16" x14ac:dyDescent="0.3">
      <c r="A12" s="153" t="s">
        <v>428</v>
      </c>
      <c r="B12" s="153" t="s">
        <v>332</v>
      </c>
      <c r="C12" s="153" t="s">
        <v>429</v>
      </c>
      <c r="D12" s="153">
        <v>20</v>
      </c>
      <c r="E12" s="153">
        <v>14951</v>
      </c>
      <c r="F12" s="153" t="s">
        <v>430</v>
      </c>
      <c r="G12" s="59"/>
      <c r="H12" s="59"/>
      <c r="I12" s="59"/>
    </row>
    <row r="13" spans="1:16" x14ac:dyDescent="0.3">
      <c r="A13" s="153" t="s">
        <v>431</v>
      </c>
      <c r="B13" s="153" t="s">
        <v>376</v>
      </c>
      <c r="C13" s="153" t="s">
        <v>432</v>
      </c>
      <c r="D13" s="153">
        <v>14</v>
      </c>
      <c r="E13" s="153">
        <v>16791</v>
      </c>
      <c r="F13" s="155">
        <v>45567</v>
      </c>
      <c r="G13" s="59"/>
      <c r="H13" s="59"/>
      <c r="I13" s="59"/>
    </row>
    <row r="14" spans="1:16" x14ac:dyDescent="0.3">
      <c r="A14" s="153" t="s">
        <v>433</v>
      </c>
      <c r="B14" s="153" t="s">
        <v>369</v>
      </c>
      <c r="C14" s="153" t="s">
        <v>434</v>
      </c>
      <c r="D14" s="153">
        <v>13</v>
      </c>
      <c r="E14" s="153">
        <v>6393</v>
      </c>
      <c r="F14" s="153" t="s">
        <v>435</v>
      </c>
      <c r="G14" s="59"/>
      <c r="H14" s="59"/>
      <c r="I14" s="59"/>
    </row>
    <row r="15" spans="1:16" x14ac:dyDescent="0.3">
      <c r="A15" s="153" t="s">
        <v>436</v>
      </c>
      <c r="B15" s="153" t="s">
        <v>391</v>
      </c>
      <c r="C15" s="153" t="s">
        <v>437</v>
      </c>
      <c r="D15" s="153">
        <v>16</v>
      </c>
      <c r="E15" s="153">
        <v>8469</v>
      </c>
      <c r="F15" s="155">
        <v>45353</v>
      </c>
      <c r="G15" s="59"/>
      <c r="H15" s="59"/>
      <c r="I15" s="59"/>
    </row>
    <row r="16" spans="1:16" x14ac:dyDescent="0.3">
      <c r="A16" s="153" t="s">
        <v>438</v>
      </c>
      <c r="B16" s="153" t="s">
        <v>336</v>
      </c>
      <c r="C16" s="153" t="s">
        <v>439</v>
      </c>
      <c r="D16" s="153">
        <v>21</v>
      </c>
      <c r="E16" s="153">
        <v>17287</v>
      </c>
      <c r="F16" s="155">
        <v>45475</v>
      </c>
      <c r="G16" s="59"/>
      <c r="H16" s="59"/>
      <c r="I16" s="59"/>
    </row>
    <row r="17" spans="1:9" x14ac:dyDescent="0.3">
      <c r="A17" s="153" t="s">
        <v>440</v>
      </c>
      <c r="B17" s="153" t="s">
        <v>362</v>
      </c>
      <c r="C17" s="153" t="s">
        <v>441</v>
      </c>
      <c r="D17" s="153">
        <v>22</v>
      </c>
      <c r="E17" s="153">
        <v>7660</v>
      </c>
      <c r="F17" s="155">
        <v>45506</v>
      </c>
      <c r="G17" s="59"/>
      <c r="H17" s="59"/>
      <c r="I17" s="59"/>
    </row>
    <row r="18" spans="1:9" x14ac:dyDescent="0.3">
      <c r="A18" s="153" t="s">
        <v>442</v>
      </c>
      <c r="B18" s="153" t="s">
        <v>372</v>
      </c>
      <c r="C18" s="153" t="s">
        <v>443</v>
      </c>
      <c r="D18" s="153">
        <v>25</v>
      </c>
      <c r="E18" s="153">
        <v>2615</v>
      </c>
      <c r="F18" s="153" t="s">
        <v>444</v>
      </c>
      <c r="G18" s="59"/>
      <c r="H18" s="59"/>
      <c r="I18" s="59"/>
    </row>
    <row r="19" spans="1:9" x14ac:dyDescent="0.3">
      <c r="A19" s="153" t="s">
        <v>445</v>
      </c>
      <c r="B19" s="153" t="s">
        <v>386</v>
      </c>
      <c r="C19" s="153" t="s">
        <v>446</v>
      </c>
      <c r="D19" s="153">
        <v>10</v>
      </c>
      <c r="E19" s="153">
        <v>16667</v>
      </c>
      <c r="F19" s="153" t="s">
        <v>447</v>
      </c>
      <c r="G19" s="59"/>
      <c r="H19" s="59"/>
      <c r="I19" s="59"/>
    </row>
    <row r="20" spans="1:9" x14ac:dyDescent="0.3">
      <c r="A20" s="153" t="s">
        <v>448</v>
      </c>
      <c r="B20" s="153" t="s">
        <v>347</v>
      </c>
      <c r="C20" s="153" t="s">
        <v>449</v>
      </c>
      <c r="D20" s="153">
        <v>14</v>
      </c>
      <c r="E20" s="153">
        <v>13823</v>
      </c>
      <c r="F20" s="153" t="s">
        <v>450</v>
      </c>
      <c r="G20" s="59"/>
      <c r="H20" s="59"/>
      <c r="I20" s="59"/>
    </row>
    <row r="21" spans="1:9" x14ac:dyDescent="0.3">
      <c r="A21" s="153" t="s">
        <v>451</v>
      </c>
      <c r="B21" s="153" t="s">
        <v>350</v>
      </c>
      <c r="C21" s="153" t="s">
        <v>452</v>
      </c>
      <c r="D21" s="153">
        <v>10</v>
      </c>
      <c r="E21" s="153">
        <v>6081</v>
      </c>
      <c r="F21" s="155">
        <v>45537</v>
      </c>
      <c r="G21" s="59"/>
      <c r="H21" s="59"/>
      <c r="I21" s="59"/>
    </row>
    <row r="22" spans="1:9" x14ac:dyDescent="0.3">
      <c r="A22" s="153" t="s">
        <v>453</v>
      </c>
      <c r="B22" s="153" t="s">
        <v>323</v>
      </c>
      <c r="C22" s="153" t="s">
        <v>454</v>
      </c>
      <c r="D22" s="153">
        <v>12</v>
      </c>
      <c r="E22" s="153">
        <v>19808</v>
      </c>
      <c r="F22" s="153" t="s">
        <v>455</v>
      </c>
      <c r="G22" s="59"/>
      <c r="H22" s="59"/>
      <c r="I22" s="59"/>
    </row>
    <row r="23" spans="1:9" x14ac:dyDescent="0.3">
      <c r="A23" s="153" t="s">
        <v>456</v>
      </c>
      <c r="B23" s="153" t="s">
        <v>389</v>
      </c>
      <c r="C23" s="153" t="s">
        <v>457</v>
      </c>
      <c r="D23" s="153">
        <v>14</v>
      </c>
      <c r="E23" s="153">
        <v>23866</v>
      </c>
      <c r="F23" s="153" t="s">
        <v>458</v>
      </c>
      <c r="G23" s="59"/>
      <c r="H23" s="59"/>
      <c r="I23" s="59"/>
    </row>
    <row r="24" spans="1:9" x14ac:dyDescent="0.3">
      <c r="A24" s="153" t="s">
        <v>459</v>
      </c>
      <c r="B24" s="153" t="s">
        <v>326</v>
      </c>
      <c r="C24" s="153" t="s">
        <v>460</v>
      </c>
      <c r="D24" s="153">
        <v>1</v>
      </c>
      <c r="E24" s="153">
        <v>21287</v>
      </c>
      <c r="F24" s="155">
        <v>45294</v>
      </c>
      <c r="G24" s="59"/>
      <c r="H24" s="59"/>
      <c r="I24" s="59"/>
    </row>
    <row r="25" spans="1:9" x14ac:dyDescent="0.3">
      <c r="A25" s="153" t="s">
        <v>461</v>
      </c>
      <c r="B25" s="153" t="s">
        <v>329</v>
      </c>
      <c r="C25" s="153" t="s">
        <v>462</v>
      </c>
      <c r="D25" s="153">
        <v>5</v>
      </c>
      <c r="E25" s="153">
        <v>18203</v>
      </c>
      <c r="F25" s="155">
        <v>45628</v>
      </c>
      <c r="G25" s="59"/>
      <c r="H25" s="59"/>
      <c r="I25" s="59"/>
    </row>
    <row r="26" spans="1:9" x14ac:dyDescent="0.3">
      <c r="A26" s="153" t="s">
        <v>463</v>
      </c>
      <c r="B26" s="153" t="s">
        <v>374</v>
      </c>
      <c r="C26" s="153" t="s">
        <v>464</v>
      </c>
      <c r="D26" s="153">
        <v>23</v>
      </c>
      <c r="E26" s="153">
        <v>29230</v>
      </c>
      <c r="F26" s="153" t="s">
        <v>465</v>
      </c>
      <c r="G26" s="59"/>
      <c r="H26" s="59"/>
      <c r="I26" s="59"/>
    </row>
    <row r="27" spans="1:9" x14ac:dyDescent="0.3">
      <c r="A27" s="153" t="s">
        <v>466</v>
      </c>
      <c r="B27" s="153" t="s">
        <v>387</v>
      </c>
      <c r="C27" s="153" t="s">
        <v>467</v>
      </c>
      <c r="D27" s="153">
        <v>23</v>
      </c>
      <c r="E27" s="153">
        <v>26283</v>
      </c>
      <c r="F27" s="153" t="s">
        <v>468</v>
      </c>
      <c r="G27" s="59"/>
      <c r="H27" s="59"/>
      <c r="I27" s="59"/>
    </row>
    <row r="28" spans="1:9" x14ac:dyDescent="0.3">
      <c r="A28" s="153" t="s">
        <v>469</v>
      </c>
      <c r="B28" s="153" t="s">
        <v>342</v>
      </c>
      <c r="C28" s="153" t="s">
        <v>470</v>
      </c>
      <c r="D28" s="153">
        <v>10</v>
      </c>
      <c r="E28" s="153">
        <v>28667</v>
      </c>
      <c r="F28" s="153" t="s">
        <v>471</v>
      </c>
      <c r="G28" s="59"/>
      <c r="H28" s="59"/>
      <c r="I28" s="59"/>
    </row>
    <row r="29" spans="1:9" x14ac:dyDescent="0.3">
      <c r="A29" s="153" t="s">
        <v>472</v>
      </c>
      <c r="B29" s="153" t="s">
        <v>356</v>
      </c>
      <c r="C29" s="153" t="s">
        <v>473</v>
      </c>
      <c r="D29" s="153">
        <v>22</v>
      </c>
      <c r="E29" s="153">
        <v>26382</v>
      </c>
      <c r="F29" s="153" t="s">
        <v>474</v>
      </c>
      <c r="G29" s="59"/>
      <c r="H29" s="59"/>
      <c r="I29" s="59"/>
    </row>
    <row r="30" spans="1:9" x14ac:dyDescent="0.3">
      <c r="A30" s="153" t="s">
        <v>475</v>
      </c>
      <c r="B30" s="153" t="s">
        <v>382</v>
      </c>
      <c r="C30" s="153" t="s">
        <v>476</v>
      </c>
      <c r="D30" s="153">
        <v>10</v>
      </c>
      <c r="E30" s="153">
        <v>28268</v>
      </c>
      <c r="F30" s="153" t="s">
        <v>477</v>
      </c>
      <c r="G30" s="59"/>
      <c r="H30" s="59"/>
      <c r="I30" s="59"/>
    </row>
    <row r="31" spans="1:9" x14ac:dyDescent="0.3">
      <c r="A31" s="153" t="s">
        <v>478</v>
      </c>
      <c r="B31" s="153" t="s">
        <v>310</v>
      </c>
      <c r="C31" s="153" t="s">
        <v>479</v>
      </c>
      <c r="D31" s="153">
        <v>5</v>
      </c>
      <c r="E31" s="153">
        <v>8044</v>
      </c>
      <c r="F31" s="155">
        <v>45416</v>
      </c>
      <c r="G31" s="59"/>
      <c r="H31" s="59"/>
      <c r="I31" s="59"/>
    </row>
    <row r="32" spans="1:9" x14ac:dyDescent="0.3">
      <c r="A32" s="153" t="s">
        <v>480</v>
      </c>
      <c r="B32" s="153" t="s">
        <v>378</v>
      </c>
      <c r="C32" s="153" t="s">
        <v>481</v>
      </c>
      <c r="D32" s="153">
        <v>10</v>
      </c>
      <c r="E32" s="153">
        <v>9183</v>
      </c>
      <c r="F32" s="153" t="s">
        <v>482</v>
      </c>
      <c r="G32" s="59"/>
      <c r="H32" s="59"/>
      <c r="I32" s="59"/>
    </row>
    <row r="33" spans="1:9" x14ac:dyDescent="0.3">
      <c r="A33" s="153" t="s">
        <v>483</v>
      </c>
      <c r="B33" s="153" t="s">
        <v>317</v>
      </c>
      <c r="C33" s="153" t="s">
        <v>484</v>
      </c>
      <c r="D33" s="153">
        <v>13</v>
      </c>
      <c r="E33" s="153">
        <v>15304</v>
      </c>
      <c r="F33" s="153" t="s">
        <v>485</v>
      </c>
      <c r="G33" s="59"/>
      <c r="H33" s="59"/>
      <c r="I33" s="59"/>
    </row>
    <row r="34" spans="1:9" x14ac:dyDescent="0.3">
      <c r="A34" s="153" t="s">
        <v>486</v>
      </c>
      <c r="B34" s="153" t="s">
        <v>312</v>
      </c>
      <c r="C34" s="153" t="s">
        <v>487</v>
      </c>
      <c r="D34" s="153">
        <v>15</v>
      </c>
      <c r="E34" s="153">
        <v>11735</v>
      </c>
      <c r="F34" s="153" t="s">
        <v>488</v>
      </c>
      <c r="G34" s="59"/>
      <c r="H34" s="59"/>
      <c r="I34" s="59"/>
    </row>
    <row r="35" spans="1:9" x14ac:dyDescent="0.3">
      <c r="A35" s="153" t="s">
        <v>489</v>
      </c>
      <c r="B35" s="153" t="s">
        <v>366</v>
      </c>
      <c r="C35" s="153" t="s">
        <v>490</v>
      </c>
      <c r="D35" s="153">
        <v>5</v>
      </c>
      <c r="E35" s="153">
        <v>27314</v>
      </c>
      <c r="F35" s="155">
        <v>45295</v>
      </c>
      <c r="G35" s="59"/>
      <c r="H35" s="59"/>
      <c r="I35" s="59"/>
    </row>
    <row r="36" spans="1:9" x14ac:dyDescent="0.3">
      <c r="A36" s="153" t="s">
        <v>491</v>
      </c>
      <c r="B36" s="153" t="s">
        <v>324</v>
      </c>
      <c r="C36" s="153" t="s">
        <v>492</v>
      </c>
      <c r="D36" s="153">
        <v>21</v>
      </c>
      <c r="E36" s="153">
        <v>1208</v>
      </c>
      <c r="F36" s="155">
        <v>45566</v>
      </c>
      <c r="G36" s="59"/>
      <c r="H36" s="59"/>
      <c r="I36" s="59"/>
    </row>
    <row r="37" spans="1:9" x14ac:dyDescent="0.3">
      <c r="A37" s="153" t="s">
        <v>493</v>
      </c>
      <c r="B37" s="153" t="s">
        <v>318</v>
      </c>
      <c r="C37" s="153" t="s">
        <v>494</v>
      </c>
      <c r="D37" s="153">
        <v>11</v>
      </c>
      <c r="E37" s="153">
        <v>5059</v>
      </c>
      <c r="F37" s="153" t="s">
        <v>495</v>
      </c>
      <c r="G37" s="59"/>
      <c r="H37" s="59"/>
      <c r="I37" s="59"/>
    </row>
    <row r="38" spans="1:9" x14ac:dyDescent="0.3">
      <c r="A38" s="153" t="s">
        <v>496</v>
      </c>
      <c r="B38" s="153" t="s">
        <v>383</v>
      </c>
      <c r="C38" s="153" t="s">
        <v>497</v>
      </c>
      <c r="D38" s="153">
        <v>21</v>
      </c>
      <c r="E38" s="153">
        <v>24766</v>
      </c>
      <c r="F38" s="155">
        <v>45355</v>
      </c>
      <c r="G38" s="59"/>
      <c r="H38" s="59"/>
      <c r="I38" s="59"/>
    </row>
    <row r="39" spans="1:9" x14ac:dyDescent="0.3">
      <c r="A39" s="153" t="s">
        <v>498</v>
      </c>
      <c r="B39" s="153" t="s">
        <v>320</v>
      </c>
      <c r="C39" s="153" t="s">
        <v>499</v>
      </c>
      <c r="D39" s="153">
        <v>9</v>
      </c>
      <c r="E39" s="153">
        <v>25536</v>
      </c>
      <c r="F39" s="155">
        <v>45568</v>
      </c>
      <c r="G39" s="59"/>
      <c r="H39" s="59"/>
      <c r="I39" s="59"/>
    </row>
    <row r="40" spans="1:9" x14ac:dyDescent="0.3">
      <c r="A40" s="153" t="s">
        <v>500</v>
      </c>
      <c r="B40" s="153" t="s">
        <v>330</v>
      </c>
      <c r="C40" s="153" t="s">
        <v>501</v>
      </c>
      <c r="D40" s="153">
        <v>23</v>
      </c>
      <c r="E40" s="153">
        <v>25939</v>
      </c>
      <c r="F40" s="155">
        <v>45538</v>
      </c>
      <c r="G40" s="59"/>
      <c r="H40" s="59"/>
      <c r="I40" s="59"/>
    </row>
    <row r="41" spans="1:9" x14ac:dyDescent="0.3">
      <c r="A41" s="153" t="s">
        <v>502</v>
      </c>
      <c r="B41" s="153" t="s">
        <v>327</v>
      </c>
      <c r="C41" s="153" t="s">
        <v>503</v>
      </c>
      <c r="D41" s="153">
        <v>22</v>
      </c>
      <c r="E41" s="153">
        <v>9644</v>
      </c>
      <c r="F41" s="155">
        <v>45414</v>
      </c>
      <c r="G41" s="59"/>
      <c r="H41" s="59"/>
      <c r="I41" s="59"/>
    </row>
    <row r="42" spans="1:9" x14ac:dyDescent="0.3">
      <c r="A42" s="153" t="s">
        <v>504</v>
      </c>
      <c r="B42" s="153" t="s">
        <v>331</v>
      </c>
      <c r="C42" s="153" t="s">
        <v>505</v>
      </c>
      <c r="D42" s="153">
        <v>12</v>
      </c>
      <c r="E42" s="153">
        <v>17402</v>
      </c>
      <c r="F42" s="153" t="s">
        <v>506</v>
      </c>
      <c r="G42" s="59"/>
      <c r="H42" s="59"/>
      <c r="I42" s="59"/>
    </row>
    <row r="43" spans="1:9" x14ac:dyDescent="0.3">
      <c r="A43" s="153" t="s">
        <v>507</v>
      </c>
      <c r="B43" s="153" t="s">
        <v>321</v>
      </c>
      <c r="C43" s="153" t="s">
        <v>508</v>
      </c>
      <c r="D43" s="153">
        <v>12</v>
      </c>
      <c r="E43" s="153">
        <v>15486</v>
      </c>
      <c r="F43" s="155">
        <v>45569</v>
      </c>
      <c r="G43" s="59"/>
      <c r="H43" s="59"/>
      <c r="I43" s="59"/>
    </row>
    <row r="44" spans="1:9" x14ac:dyDescent="0.3">
      <c r="A44" s="153" t="s">
        <v>509</v>
      </c>
      <c r="B44" s="153" t="s">
        <v>346</v>
      </c>
      <c r="C44" s="153" t="s">
        <v>510</v>
      </c>
      <c r="D44" s="153">
        <v>1</v>
      </c>
      <c r="E44" s="153">
        <v>8298</v>
      </c>
      <c r="F44" s="153" t="s">
        <v>511</v>
      </c>
      <c r="G44" s="59"/>
      <c r="H44" s="59"/>
      <c r="I44" s="59"/>
    </row>
    <row r="45" spans="1:9" x14ac:dyDescent="0.3">
      <c r="A45" s="153" t="s">
        <v>512</v>
      </c>
      <c r="B45" s="153" t="s">
        <v>355</v>
      </c>
      <c r="C45" s="153" t="s">
        <v>513</v>
      </c>
      <c r="D45" s="153">
        <v>10</v>
      </c>
      <c r="E45" s="153">
        <v>11697</v>
      </c>
      <c r="F45" s="155">
        <v>45386</v>
      </c>
      <c r="G45" s="59"/>
      <c r="H45" s="59"/>
      <c r="I45" s="59"/>
    </row>
    <row r="46" spans="1:9" x14ac:dyDescent="0.3">
      <c r="A46" s="153" t="s">
        <v>514</v>
      </c>
      <c r="B46" s="153" t="s">
        <v>370</v>
      </c>
      <c r="C46" s="153" t="s">
        <v>515</v>
      </c>
      <c r="D46" s="153">
        <v>7</v>
      </c>
      <c r="E46" s="153">
        <v>16981</v>
      </c>
      <c r="F46" s="155">
        <v>45476</v>
      </c>
      <c r="G46" s="59"/>
      <c r="H46" s="59"/>
      <c r="I46" s="59"/>
    </row>
    <row r="47" spans="1:9" x14ac:dyDescent="0.3">
      <c r="A47" s="153" t="s">
        <v>516</v>
      </c>
      <c r="B47" s="153" t="s">
        <v>395</v>
      </c>
      <c r="C47" s="153" t="s">
        <v>517</v>
      </c>
      <c r="D47" s="153">
        <v>24</v>
      </c>
      <c r="E47" s="153">
        <v>21128</v>
      </c>
      <c r="F47" s="153" t="s">
        <v>518</v>
      </c>
      <c r="G47" s="59"/>
      <c r="H47" s="59"/>
      <c r="I47" s="59"/>
    </row>
    <row r="48" spans="1:9" x14ac:dyDescent="0.3">
      <c r="A48" s="153" t="s">
        <v>519</v>
      </c>
      <c r="B48" s="153" t="s">
        <v>341</v>
      </c>
      <c r="C48" s="153" t="s">
        <v>520</v>
      </c>
      <c r="D48" s="153">
        <v>2</v>
      </c>
      <c r="E48" s="153">
        <v>24238</v>
      </c>
      <c r="F48" s="153" t="s">
        <v>521</v>
      </c>
      <c r="G48" s="59"/>
      <c r="H48" s="59"/>
      <c r="I48" s="59"/>
    </row>
    <row r="49" spans="1:9" x14ac:dyDescent="0.3">
      <c r="A49" s="153" t="s">
        <v>522</v>
      </c>
      <c r="B49" s="153" t="s">
        <v>354</v>
      </c>
      <c r="C49" s="153" t="s">
        <v>523</v>
      </c>
      <c r="D49" s="153">
        <v>9</v>
      </c>
      <c r="E49" s="153">
        <v>10893</v>
      </c>
      <c r="F49" s="153" t="s">
        <v>524</v>
      </c>
      <c r="G49" s="59"/>
      <c r="H49" s="59"/>
      <c r="I49" s="59"/>
    </row>
    <row r="50" spans="1:9" x14ac:dyDescent="0.3">
      <c r="A50" s="153" t="s">
        <v>525</v>
      </c>
      <c r="B50" s="153" t="s">
        <v>360</v>
      </c>
      <c r="C50" s="153" t="s">
        <v>526</v>
      </c>
      <c r="D50" s="153">
        <v>21</v>
      </c>
      <c r="E50" s="153">
        <v>21047</v>
      </c>
      <c r="F50" s="155">
        <v>45445</v>
      </c>
      <c r="G50" s="59"/>
      <c r="H50" s="59"/>
      <c r="I50" s="59"/>
    </row>
    <row r="51" spans="1:9" x14ac:dyDescent="0.3">
      <c r="A51" s="153" t="s">
        <v>527</v>
      </c>
      <c r="B51" s="153" t="s">
        <v>367</v>
      </c>
      <c r="C51" s="153" t="s">
        <v>528</v>
      </c>
      <c r="D51" s="153">
        <v>2</v>
      </c>
      <c r="E51" s="153">
        <v>17418</v>
      </c>
      <c r="F51" s="155">
        <v>45446</v>
      </c>
      <c r="G51" s="59"/>
      <c r="H51" s="59"/>
      <c r="I51" s="59"/>
    </row>
    <row r="52" spans="1:9" x14ac:dyDescent="0.3">
      <c r="A52" s="153" t="s">
        <v>529</v>
      </c>
      <c r="B52" s="153" t="s">
        <v>393</v>
      </c>
      <c r="C52" s="153" t="s">
        <v>530</v>
      </c>
      <c r="D52" s="153">
        <v>19</v>
      </c>
      <c r="E52" s="153">
        <v>10317</v>
      </c>
      <c r="F52" s="153" t="s">
        <v>531</v>
      </c>
      <c r="G52" s="59"/>
      <c r="H52" s="59"/>
      <c r="I52" s="59"/>
    </row>
    <row r="53" spans="1:9" x14ac:dyDescent="0.3">
      <c r="A53" s="153" t="s">
        <v>532</v>
      </c>
      <c r="B53" s="153" t="s">
        <v>357</v>
      </c>
      <c r="C53" s="153" t="s">
        <v>533</v>
      </c>
      <c r="D53" s="153">
        <v>6</v>
      </c>
      <c r="E53" s="153">
        <v>22290</v>
      </c>
      <c r="F53" s="153" t="s">
        <v>534</v>
      </c>
      <c r="G53" s="59"/>
      <c r="H53" s="59"/>
      <c r="I53" s="59"/>
    </row>
    <row r="54" spans="1:9" x14ac:dyDescent="0.3">
      <c r="A54" s="153" t="s">
        <v>535</v>
      </c>
      <c r="B54" s="153" t="s">
        <v>394</v>
      </c>
      <c r="C54" s="153" t="s">
        <v>536</v>
      </c>
      <c r="D54" s="153">
        <v>22</v>
      </c>
      <c r="E54" s="153">
        <v>21620</v>
      </c>
      <c r="F54" s="155">
        <v>45447</v>
      </c>
      <c r="G54" s="59"/>
      <c r="H54" s="59"/>
      <c r="I54" s="59"/>
    </row>
    <row r="55" spans="1:9" x14ac:dyDescent="0.3">
      <c r="A55" s="153" t="s">
        <v>537</v>
      </c>
      <c r="B55" s="153" t="s">
        <v>351</v>
      </c>
      <c r="C55" s="153" t="s">
        <v>538</v>
      </c>
      <c r="D55" s="153">
        <v>14</v>
      </c>
      <c r="E55" s="153">
        <v>19117</v>
      </c>
      <c r="F55" s="153" t="s">
        <v>539</v>
      </c>
      <c r="G55" s="59"/>
      <c r="H55" s="59"/>
      <c r="I55" s="59"/>
    </row>
    <row r="56" spans="1:9" x14ac:dyDescent="0.3">
      <c r="A56" s="153" t="s">
        <v>540</v>
      </c>
      <c r="B56" s="153" t="s">
        <v>345</v>
      </c>
      <c r="C56" s="153" t="s">
        <v>541</v>
      </c>
      <c r="D56" s="153">
        <v>9</v>
      </c>
      <c r="E56" s="153">
        <v>6241</v>
      </c>
      <c r="F56" s="153" t="s">
        <v>542</v>
      </c>
      <c r="G56" s="59"/>
      <c r="H56" s="59"/>
      <c r="I56" s="59"/>
    </row>
    <row r="57" spans="1:9" x14ac:dyDescent="0.3">
      <c r="A57" s="153" t="s">
        <v>543</v>
      </c>
      <c r="B57" s="153" t="s">
        <v>352</v>
      </c>
      <c r="C57" s="153" t="s">
        <v>544</v>
      </c>
      <c r="D57" s="153">
        <v>4</v>
      </c>
      <c r="E57" s="153">
        <v>7123</v>
      </c>
      <c r="F57" s="153" t="s">
        <v>545</v>
      </c>
      <c r="G57" s="59"/>
      <c r="H57" s="59"/>
      <c r="I57" s="59"/>
    </row>
    <row r="58" spans="1:9" x14ac:dyDescent="0.3">
      <c r="A58" s="153" t="s">
        <v>546</v>
      </c>
      <c r="B58" s="153" t="s">
        <v>361</v>
      </c>
      <c r="C58" s="153" t="s">
        <v>547</v>
      </c>
      <c r="D58" s="153">
        <v>17</v>
      </c>
      <c r="E58" s="153">
        <v>18301</v>
      </c>
      <c r="F58" s="155">
        <v>45598</v>
      </c>
      <c r="G58" s="59"/>
      <c r="H58" s="59"/>
      <c r="I58" s="59"/>
    </row>
    <row r="59" spans="1:9" x14ac:dyDescent="0.3">
      <c r="A59" s="153" t="s">
        <v>548</v>
      </c>
      <c r="B59" s="153" t="s">
        <v>381</v>
      </c>
      <c r="C59" s="153" t="s">
        <v>549</v>
      </c>
      <c r="D59" s="153">
        <v>14</v>
      </c>
      <c r="E59" s="153">
        <v>3322</v>
      </c>
      <c r="F59" s="153" t="s">
        <v>550</v>
      </c>
      <c r="G59" s="59"/>
      <c r="H59" s="59"/>
      <c r="I59" s="59"/>
    </row>
    <row r="60" spans="1:9" x14ac:dyDescent="0.3">
      <c r="A60" s="153" t="s">
        <v>551</v>
      </c>
      <c r="B60" s="153" t="s">
        <v>384</v>
      </c>
      <c r="C60" s="153" t="s">
        <v>552</v>
      </c>
      <c r="D60" s="153">
        <v>11</v>
      </c>
      <c r="E60" s="153">
        <v>10769</v>
      </c>
      <c r="F60" s="155">
        <v>45326</v>
      </c>
      <c r="G60" s="59"/>
      <c r="H60" s="59"/>
      <c r="I60" s="59"/>
    </row>
    <row r="61" spans="1:9" x14ac:dyDescent="0.3">
      <c r="A61" s="153" t="s">
        <v>553</v>
      </c>
      <c r="B61" s="153" t="s">
        <v>338</v>
      </c>
      <c r="C61" s="153" t="s">
        <v>554</v>
      </c>
      <c r="D61" s="153">
        <v>16</v>
      </c>
      <c r="E61" s="153">
        <v>24974</v>
      </c>
      <c r="F61" s="153" t="s">
        <v>555</v>
      </c>
      <c r="G61" s="59"/>
      <c r="H61" s="59"/>
      <c r="I61" s="59"/>
    </row>
    <row r="62" spans="1:9" x14ac:dyDescent="0.3">
      <c r="A62" s="153" t="s">
        <v>556</v>
      </c>
      <c r="B62" s="153" t="s">
        <v>377</v>
      </c>
      <c r="C62" s="153" t="s">
        <v>557</v>
      </c>
      <c r="D62" s="153">
        <v>17</v>
      </c>
      <c r="E62" s="153">
        <v>24880</v>
      </c>
      <c r="F62" s="155">
        <v>45324</v>
      </c>
      <c r="G62" s="59"/>
      <c r="H62" s="59"/>
      <c r="I62" s="59"/>
    </row>
    <row r="63" spans="1:9" x14ac:dyDescent="0.3">
      <c r="A63" s="153" t="s">
        <v>558</v>
      </c>
      <c r="B63" s="153" t="s">
        <v>385</v>
      </c>
      <c r="C63" s="153" t="s">
        <v>559</v>
      </c>
      <c r="D63" s="153">
        <v>23</v>
      </c>
      <c r="E63" s="153">
        <v>28952</v>
      </c>
      <c r="F63" s="153" t="s">
        <v>560</v>
      </c>
      <c r="G63" s="59"/>
      <c r="H63" s="59"/>
      <c r="I63" s="59"/>
    </row>
    <row r="64" spans="1:9" x14ac:dyDescent="0.3">
      <c r="A64" s="153" t="s">
        <v>561</v>
      </c>
      <c r="B64" s="153" t="s">
        <v>343</v>
      </c>
      <c r="C64" s="153" t="s">
        <v>562</v>
      </c>
      <c r="D64" s="153">
        <v>7</v>
      </c>
      <c r="E64" s="153">
        <v>11293</v>
      </c>
      <c r="F64" s="153" t="s">
        <v>563</v>
      </c>
      <c r="G64" s="59"/>
      <c r="H64" s="59"/>
      <c r="I64" s="59"/>
    </row>
    <row r="65" spans="1:9" x14ac:dyDescent="0.3">
      <c r="A65" s="153" t="s">
        <v>564</v>
      </c>
      <c r="B65" s="153" t="s">
        <v>344</v>
      </c>
      <c r="C65" s="153" t="s">
        <v>565</v>
      </c>
      <c r="D65" s="153">
        <v>15</v>
      </c>
      <c r="E65" s="153">
        <v>10982</v>
      </c>
      <c r="F65" s="153" t="s">
        <v>566</v>
      </c>
      <c r="G65" s="59"/>
      <c r="H65" s="59"/>
      <c r="I65" s="59"/>
    </row>
    <row r="66" spans="1:9" x14ac:dyDescent="0.3">
      <c r="A66" s="153" t="s">
        <v>567</v>
      </c>
      <c r="B66" s="153" t="s">
        <v>322</v>
      </c>
      <c r="C66" s="153" t="s">
        <v>568</v>
      </c>
      <c r="D66" s="153">
        <v>9</v>
      </c>
      <c r="E66" s="153">
        <v>22817</v>
      </c>
      <c r="F66" s="153" t="s">
        <v>569</v>
      </c>
      <c r="G66" s="59"/>
      <c r="H66" s="59"/>
      <c r="I66" s="59"/>
    </row>
    <row r="67" spans="1:9" x14ac:dyDescent="0.3">
      <c r="A67" s="153" t="s">
        <v>570</v>
      </c>
      <c r="B67" s="153" t="s">
        <v>390</v>
      </c>
      <c r="C67" s="153" t="s">
        <v>571</v>
      </c>
      <c r="D67" s="153">
        <v>6</v>
      </c>
      <c r="E67" s="153">
        <v>11609</v>
      </c>
      <c r="F67" s="155">
        <v>45413</v>
      </c>
      <c r="G67" s="59"/>
      <c r="H67" s="59"/>
      <c r="I67" s="59"/>
    </row>
    <row r="68" spans="1:9" x14ac:dyDescent="0.3">
      <c r="A68" s="153" t="s">
        <v>572</v>
      </c>
      <c r="B68" s="153" t="s">
        <v>315</v>
      </c>
      <c r="C68" s="153" t="s">
        <v>573</v>
      </c>
      <c r="D68" s="153">
        <v>1</v>
      </c>
      <c r="E68" s="153">
        <v>13172</v>
      </c>
      <c r="F68" s="155">
        <v>45325</v>
      </c>
      <c r="G68" s="59"/>
      <c r="H68" s="59"/>
      <c r="I68" s="59"/>
    </row>
    <row r="69" spans="1:9" x14ac:dyDescent="0.3">
      <c r="A69" s="153" t="s">
        <v>574</v>
      </c>
      <c r="B69" s="153" t="s">
        <v>333</v>
      </c>
      <c r="C69" s="153" t="s">
        <v>575</v>
      </c>
      <c r="D69" s="153">
        <v>10</v>
      </c>
      <c r="E69" s="153">
        <v>13804</v>
      </c>
      <c r="F69" s="155">
        <v>45293</v>
      </c>
      <c r="G69" s="59"/>
      <c r="H69" s="59"/>
      <c r="I69" s="59"/>
    </row>
    <row r="70" spans="1:9" x14ac:dyDescent="0.3">
      <c r="A70" s="153" t="s">
        <v>576</v>
      </c>
      <c r="B70" s="153" t="s">
        <v>364</v>
      </c>
      <c r="C70" s="153" t="s">
        <v>577</v>
      </c>
      <c r="D70" s="153">
        <v>9</v>
      </c>
      <c r="E70" s="153">
        <v>29226</v>
      </c>
      <c r="F70" s="155">
        <v>45385</v>
      </c>
      <c r="G70" s="59"/>
      <c r="H70" s="59"/>
      <c r="I70" s="59"/>
    </row>
    <row r="71" spans="1:9" x14ac:dyDescent="0.3">
      <c r="A71" s="153" t="s">
        <v>578</v>
      </c>
      <c r="B71" s="153" t="s">
        <v>392</v>
      </c>
      <c r="C71" s="153" t="s">
        <v>579</v>
      </c>
      <c r="D71" s="153">
        <v>6</v>
      </c>
      <c r="E71" s="153">
        <v>10348</v>
      </c>
      <c r="F71" s="155">
        <v>45477</v>
      </c>
      <c r="G71" s="59"/>
      <c r="H71" s="59"/>
      <c r="I71" s="59"/>
    </row>
    <row r="72" spans="1:9" x14ac:dyDescent="0.3">
      <c r="A72" s="153" t="s">
        <v>580</v>
      </c>
      <c r="B72" s="153" t="s">
        <v>328</v>
      </c>
      <c r="C72" s="153" t="s">
        <v>581</v>
      </c>
      <c r="D72" s="153">
        <v>4</v>
      </c>
      <c r="E72" s="153">
        <v>20848</v>
      </c>
      <c r="F72" s="153" t="s">
        <v>582</v>
      </c>
      <c r="G72" s="59"/>
      <c r="H72" s="59"/>
      <c r="I72" s="59"/>
    </row>
    <row r="73" spans="1:9" x14ac:dyDescent="0.3">
      <c r="A73" s="153" t="s">
        <v>583</v>
      </c>
      <c r="B73" s="153" t="s">
        <v>339</v>
      </c>
      <c r="C73" s="153" t="s">
        <v>584</v>
      </c>
      <c r="D73" s="153">
        <v>1</v>
      </c>
      <c r="E73" s="153">
        <v>27278</v>
      </c>
      <c r="F73" s="153" t="s">
        <v>585</v>
      </c>
      <c r="G73" s="59"/>
      <c r="H73" s="59"/>
      <c r="I73" s="59"/>
    </row>
    <row r="74" spans="1:9" x14ac:dyDescent="0.3">
      <c r="A74" s="153" t="s">
        <v>586</v>
      </c>
      <c r="B74" s="153" t="s">
        <v>375</v>
      </c>
      <c r="C74" s="153" t="s">
        <v>587</v>
      </c>
      <c r="D74" s="153">
        <v>5</v>
      </c>
      <c r="E74" s="153">
        <v>27731</v>
      </c>
      <c r="F74" s="155">
        <v>45599</v>
      </c>
      <c r="G74" s="59"/>
      <c r="H74" s="59"/>
      <c r="I74" s="59"/>
    </row>
    <row r="75" spans="1:9" x14ac:dyDescent="0.3">
      <c r="A75" s="153" t="s">
        <v>588</v>
      </c>
      <c r="B75" s="153" t="s">
        <v>388</v>
      </c>
      <c r="C75" s="153" t="s">
        <v>589</v>
      </c>
      <c r="D75" s="153">
        <v>16</v>
      </c>
      <c r="E75" s="153">
        <v>15610</v>
      </c>
      <c r="F75" s="153" t="s">
        <v>590</v>
      </c>
      <c r="G75" s="59"/>
      <c r="H75" s="59"/>
      <c r="I75" s="59"/>
    </row>
    <row r="76" spans="1:9" x14ac:dyDescent="0.3">
      <c r="A76" s="153" t="s">
        <v>591</v>
      </c>
      <c r="B76" s="153" t="s">
        <v>349</v>
      </c>
      <c r="C76" s="153" t="s">
        <v>592</v>
      </c>
      <c r="D76" s="153">
        <v>12</v>
      </c>
      <c r="E76" s="153">
        <v>9642</v>
      </c>
      <c r="F76" s="155">
        <v>45384</v>
      </c>
      <c r="G76" s="59"/>
      <c r="H76" s="59"/>
      <c r="I76" s="59"/>
    </row>
    <row r="77" spans="1:9" x14ac:dyDescent="0.3">
      <c r="A77" s="153" t="s">
        <v>593</v>
      </c>
      <c r="B77" s="153" t="s">
        <v>379</v>
      </c>
      <c r="C77" s="153" t="s">
        <v>594</v>
      </c>
      <c r="D77" s="153">
        <v>12</v>
      </c>
      <c r="E77" s="153">
        <v>4383</v>
      </c>
      <c r="F77" s="155">
        <v>45629</v>
      </c>
      <c r="G77" s="59"/>
      <c r="H77" s="59"/>
      <c r="I77" s="59"/>
    </row>
    <row r="78" spans="1:9" x14ac:dyDescent="0.3">
      <c r="A78" s="153" t="s">
        <v>595</v>
      </c>
      <c r="B78" s="153" t="s">
        <v>380</v>
      </c>
      <c r="C78" s="153" t="s">
        <v>596</v>
      </c>
      <c r="D78" s="153">
        <v>15</v>
      </c>
      <c r="E78" s="153">
        <v>23927</v>
      </c>
      <c r="F78" s="153" t="s">
        <v>597</v>
      </c>
      <c r="G78" s="59"/>
      <c r="H78" s="59"/>
      <c r="I78" s="59"/>
    </row>
    <row r="79" spans="1:9" x14ac:dyDescent="0.3">
      <c r="A79" s="153" t="s">
        <v>598</v>
      </c>
      <c r="B79" s="153" t="s">
        <v>368</v>
      </c>
      <c r="C79" s="153" t="s">
        <v>599</v>
      </c>
      <c r="D79" s="153">
        <v>9</v>
      </c>
      <c r="E79" s="153">
        <v>26247</v>
      </c>
      <c r="F79" s="155">
        <v>45415</v>
      </c>
      <c r="G79" s="59"/>
      <c r="H79" s="59"/>
      <c r="I79" s="59"/>
    </row>
    <row r="80" spans="1:9" x14ac:dyDescent="0.3">
      <c r="A80" s="153" t="s">
        <v>600</v>
      </c>
      <c r="B80" s="153" t="s">
        <v>365</v>
      </c>
      <c r="C80" s="153" t="s">
        <v>601</v>
      </c>
      <c r="D80" s="153">
        <v>5</v>
      </c>
      <c r="E80" s="153">
        <v>4110</v>
      </c>
      <c r="F80" s="155">
        <v>45354</v>
      </c>
      <c r="G80" s="59"/>
      <c r="H80" s="59"/>
      <c r="I80" s="59"/>
    </row>
    <row r="81" spans="1:9" x14ac:dyDescent="0.3">
      <c r="A81" s="153" t="s">
        <v>602</v>
      </c>
      <c r="B81" s="153" t="s">
        <v>363</v>
      </c>
      <c r="C81" s="153" t="s">
        <v>603</v>
      </c>
      <c r="D81" s="153">
        <v>15</v>
      </c>
      <c r="E81" s="153">
        <v>6903</v>
      </c>
      <c r="F81" s="155">
        <v>45508</v>
      </c>
      <c r="G81" s="59"/>
      <c r="H81" s="59"/>
      <c r="I81" s="59"/>
    </row>
    <row r="82" spans="1:9" x14ac:dyDescent="0.3">
      <c r="A82" s="153" t="s">
        <v>604</v>
      </c>
      <c r="B82" s="153" t="s">
        <v>335</v>
      </c>
      <c r="C82" s="153" t="s">
        <v>605</v>
      </c>
      <c r="D82" s="153">
        <v>5</v>
      </c>
      <c r="E82" s="153">
        <v>18943</v>
      </c>
      <c r="F82" s="153" t="s">
        <v>606</v>
      </c>
      <c r="G82" s="59"/>
      <c r="H82" s="59"/>
      <c r="I82" s="5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SUMIF,AVGIF</vt:lpstr>
      <vt:lpstr>COUNTIF,IFs</vt:lpstr>
      <vt:lpstr>V,HLOOKUP</vt:lpstr>
      <vt:lpstr>X,INDEX,MATCH</vt:lpstr>
      <vt:lpstr>Practice SUMIF</vt:lpstr>
      <vt:lpstr>AVGIF</vt:lpstr>
      <vt:lpstr>COUNTIF</vt:lpstr>
      <vt:lpstr>VLOOKUP</vt:lpstr>
      <vt:lpstr>HLOOKUP</vt:lpstr>
      <vt:lpstr>INDEXMATCH</vt:lpstr>
      <vt:lpstr>Practice1</vt:lpstr>
      <vt:lpstr>Practice2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2026-04-25T13:28:04Z</dcterms:modified>
</cp:coreProperties>
</file>