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58d4d655bee1e81/Desktop/Github/Practice_Excel/"/>
    </mc:Choice>
  </mc:AlternateContent>
  <xr:revisionPtr revIDLastSave="218" documentId="11_F25DC773A252ABDACC1048BD89DC52D45ADE58EF" xr6:coauthVersionLast="47" xr6:coauthVersionMax="47" xr10:uidLastSave="{17E397EE-A414-44B4-8CC0-AC5EA7F4F73A}"/>
  <bookViews>
    <workbookView xWindow="-108" yWindow="-108" windowWidth="23256" windowHeight="12456" firstSheet="2" activeTab="4" xr2:uid="{00000000-000D-0000-FFFF-FFFF00000000}"/>
  </bookViews>
  <sheets>
    <sheet name="SUMIF,AVGIF" sheetId="1" r:id="rId1"/>
    <sheet name="COUNTIF,IFs" sheetId="2" r:id="rId2"/>
    <sheet name="V,HLOOKUP" sheetId="3" r:id="rId3"/>
    <sheet name="X,INDEX,MATCH" sheetId="4" r:id="rId4"/>
    <sheet name="Practice SUMIF" sheetId="5" r:id="rId5"/>
    <sheet name="COUNTIF" sheetId="6" r:id="rId6"/>
    <sheet name="VLOOKUP" sheetId="7" r:id="rId7"/>
    <sheet name="HLOOKUP" sheetId="8" r:id="rId8"/>
    <sheet name="INDEXMATC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5" l="1"/>
  <c r="K12" i="5"/>
  <c r="K9" i="5"/>
  <c r="K7" i="5"/>
  <c r="K11" i="5"/>
  <c r="K10" i="5"/>
  <c r="K8" i="5"/>
  <c r="K6" i="5"/>
  <c r="K5" i="5"/>
  <c r="K4" i="5"/>
  <c r="K3" i="5"/>
  <c r="B11" i="9"/>
  <c r="B10" i="9"/>
  <c r="N9" i="8"/>
  <c r="J2" i="7"/>
  <c r="J3" i="6"/>
  <c r="J4" i="6"/>
  <c r="J5" i="6"/>
  <c r="K2" i="5"/>
  <c r="E9" i="4"/>
  <c r="E7" i="4"/>
  <c r="E6" i="4"/>
  <c r="E5" i="4"/>
  <c r="E4" i="4"/>
  <c r="E3" i="4"/>
  <c r="H13" i="3"/>
  <c r="H12" i="3"/>
  <c r="H11" i="3"/>
  <c r="F5" i="3"/>
  <c r="F4" i="3"/>
  <c r="E34" i="2"/>
  <c r="G19" i="2"/>
  <c r="G18" i="2"/>
  <c r="E33" i="2"/>
  <c r="E11" i="4" a="1"/>
  <c r="E11" i="4" l="1"/>
  <c r="G6" i="2"/>
  <c r="G5" i="2"/>
  <c r="G4" i="2"/>
  <c r="G3" i="2"/>
  <c r="G20" i="1"/>
  <c r="G19" i="1"/>
  <c r="G17" i="1"/>
  <c r="G18" i="1"/>
  <c r="E5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<sst xmlns="http://schemas.openxmlformats.org/spreadsheetml/2006/main" count="637" uniqueCount="306">
  <si>
    <t>Data for Practice</t>
  </si>
  <si>
    <t>Employee</t>
  </si>
  <si>
    <t>Sales</t>
  </si>
  <si>
    <t xml:space="preserve">Tasks </t>
  </si>
  <si>
    <t>Answers</t>
  </si>
  <si>
    <t>John</t>
  </si>
  <si>
    <t>Task 1</t>
  </si>
  <si>
    <t>Mary</t>
  </si>
  <si>
    <t>Task 2</t>
  </si>
  <si>
    <t>Peter</t>
  </si>
  <si>
    <t>Task 3</t>
  </si>
  <si>
    <t>Susan</t>
  </si>
  <si>
    <t>James</t>
  </si>
  <si>
    <t>Linda</t>
  </si>
  <si>
    <t>David</t>
  </si>
  <si>
    <t>Karen</t>
  </si>
  <si>
    <t>Michael</t>
  </si>
  <si>
    <t>Jennifer</t>
  </si>
  <si>
    <t>Data For Practice</t>
  </si>
  <si>
    <t>Region</t>
  </si>
  <si>
    <t>Product</t>
  </si>
  <si>
    <t>Tasks</t>
  </si>
  <si>
    <t>North</t>
  </si>
  <si>
    <t>Electronics</t>
  </si>
  <si>
    <t>South</t>
  </si>
  <si>
    <t>Clothing</t>
  </si>
  <si>
    <t>East</t>
  </si>
  <si>
    <t>Office Supplies</t>
  </si>
  <si>
    <t>Task 4</t>
  </si>
  <si>
    <t>West</t>
  </si>
  <si>
    <t>Mean</t>
  </si>
  <si>
    <t>Median</t>
  </si>
  <si>
    <t>Mode</t>
  </si>
  <si>
    <t>Sum sales of Electronics</t>
  </si>
  <si>
    <t>Sum sales of Electronics in North</t>
  </si>
  <si>
    <t>Condition followed by sum range</t>
  </si>
  <si>
    <t>Sum range followed by primary condition and then secondary condition</t>
  </si>
  <si>
    <t>Avg. sales of North</t>
  </si>
  <si>
    <t>Condition followed by avg. range</t>
  </si>
  <si>
    <t>Avg. sales of Electronics in North</t>
  </si>
  <si>
    <t>Avg. range followed by rpimary condition and then secondary condition</t>
  </si>
  <si>
    <t>Age</t>
  </si>
  <si>
    <t>Department</t>
  </si>
  <si>
    <t>Answer</t>
  </si>
  <si>
    <t>Marketing</t>
  </si>
  <si>
    <t>HR</t>
  </si>
  <si>
    <t>IT</t>
  </si>
  <si>
    <t>Conunt only count numeric values and ignore text, blanks and symbols</t>
  </si>
  <si>
    <t>Count all non empty cells eg. date, symbols, formula that return text</t>
  </si>
  <si>
    <t>NULL</t>
  </si>
  <si>
    <t>Countl only the empty cells in range</t>
  </si>
  <si>
    <t>COUNTBLANK can be used with IF</t>
  </si>
  <si>
    <t>IF followed by COUNTBLANK range to check followed by condition followed by the condition value</t>
  </si>
  <si>
    <t>Gender</t>
  </si>
  <si>
    <t>Male</t>
  </si>
  <si>
    <t>Female</t>
  </si>
  <si>
    <t>COUNT</t>
  </si>
  <si>
    <t>COUNTA</t>
  </si>
  <si>
    <t>COUNTBLANK</t>
  </si>
  <si>
    <t>IF and COUNTBLANK</t>
  </si>
  <si>
    <t>For Part 1</t>
  </si>
  <si>
    <t>Quantity</t>
  </si>
  <si>
    <t>Status</t>
  </si>
  <si>
    <t>Laptop</t>
  </si>
  <si>
    <t>Delivered</t>
  </si>
  <si>
    <t>Mouse</t>
  </si>
  <si>
    <t>Pending</t>
  </si>
  <si>
    <t>Keyboard</t>
  </si>
  <si>
    <t>Speakers</t>
  </si>
  <si>
    <t>Count the number of oders pending</t>
  </si>
  <si>
    <t>Count no of people above age 30</t>
  </si>
  <si>
    <t>Count no of male</t>
  </si>
  <si>
    <t>COUNTIF followed by condition range followed by condition</t>
  </si>
  <si>
    <t>Count no of orders deliverd in west region</t>
  </si>
  <si>
    <t>COUNTIFS followed by condition range1 followed by condition1 the condition range2 followed by condition2</t>
  </si>
  <si>
    <t>Data For Practice (VLOOKUP)</t>
  </si>
  <si>
    <t>Price</t>
  </si>
  <si>
    <t>Category</t>
  </si>
  <si>
    <t>Stock</t>
  </si>
  <si>
    <t>Tablet</t>
  </si>
  <si>
    <t>Smartphone</t>
  </si>
  <si>
    <t>Monitor</t>
  </si>
  <si>
    <t>Accessories</t>
  </si>
  <si>
    <t>Smartphone Price</t>
  </si>
  <si>
    <t>Tablet stock</t>
  </si>
  <si>
    <t>Laptop Price</t>
  </si>
  <si>
    <t>Laptop Category</t>
  </si>
  <si>
    <t>Stock of Keyborad</t>
  </si>
  <si>
    <t>HLOOKUP followed by the condition followed by the selection of table followed by return value row and 0 or 1</t>
  </si>
  <si>
    <t>VLOOKUP followed by the condition followed by the selection of table followed by return value column and 0 or 1</t>
  </si>
  <si>
    <t>For All Parts</t>
  </si>
  <si>
    <t>Product ID</t>
  </si>
  <si>
    <t>Product Name</t>
  </si>
  <si>
    <t>Units Sold</t>
  </si>
  <si>
    <t>P100</t>
  </si>
  <si>
    <t>P101</t>
  </si>
  <si>
    <t>P102</t>
  </si>
  <si>
    <t>P103</t>
  </si>
  <si>
    <t>P104</t>
  </si>
  <si>
    <t>Speaker</t>
  </si>
  <si>
    <t>P105</t>
  </si>
  <si>
    <t>Webcam</t>
  </si>
  <si>
    <t>P106</t>
  </si>
  <si>
    <t>Charger</t>
  </si>
  <si>
    <t>P107</t>
  </si>
  <si>
    <t>P108</t>
  </si>
  <si>
    <t>Headphones</t>
  </si>
  <si>
    <t>P109</t>
  </si>
  <si>
    <t>USB Drive</t>
  </si>
  <si>
    <t>Lookup the price of P102</t>
  </si>
  <si>
    <t>Lookup price of P999 that is not there</t>
  </si>
  <si>
    <t>INDEX followed by selection of range then row and column.</t>
  </si>
  <si>
    <t>Index of 3rd row and 2nd column</t>
  </si>
  <si>
    <t>Find value in one column based on value in other column.</t>
  </si>
  <si>
    <t xml:space="preserve">Match which position "Laptop" is in </t>
  </si>
  <si>
    <t>Price of "Monitor"</t>
  </si>
  <si>
    <t>MATCH follwed by criteria "Laptop"  followed by the column where the criteria is followed by the 0</t>
  </si>
  <si>
    <t>VLOOKUP followed by criteria "P999" followed by where you are searching for it followed by return reference followed by the output if confition not met.</t>
  </si>
  <si>
    <t>VLOOKUP followed by criteria "P102" followed by where you are searching for it followed by return reference.</t>
  </si>
  <si>
    <t>INDEX followed by column range to of answer followed by MATCH followed by criteria " Monitor" followed by column range of monitor and 0</t>
  </si>
  <si>
    <t>Value of cell 5 columns below A2 and 1 right to it</t>
  </si>
  <si>
    <t>OFFSET followed by reference cell followed by the number of columns below followed by number of rows right to the last column</t>
  </si>
  <si>
    <t>C5</t>
  </si>
  <si>
    <t>Return value in C5</t>
  </si>
  <si>
    <t>INDIRECT followed by the cell number</t>
  </si>
  <si>
    <t>Date</t>
  </si>
  <si>
    <t>Account Category</t>
  </si>
  <si>
    <t>Amount</t>
  </si>
  <si>
    <t>Payment Method</t>
  </si>
  <si>
    <t>Problem #</t>
  </si>
  <si>
    <t>Description</t>
  </si>
  <si>
    <t>Travel</t>
  </si>
  <si>
    <t>Credit Card</t>
  </si>
  <si>
    <t>1</t>
  </si>
  <si>
    <t>Total Travel expenses across all departments</t>
  </si>
  <si>
    <t>Software</t>
  </si>
  <si>
    <t>Bank Transfer</t>
  </si>
  <si>
    <t>2</t>
  </si>
  <si>
    <t>Total expenses for the Sales department</t>
  </si>
  <si>
    <t>Salaries</t>
  </si>
  <si>
    <t>3</t>
  </si>
  <si>
    <t>Total Utilities expenses in the East region</t>
  </si>
  <si>
    <t>4</t>
  </si>
  <si>
    <t>Total expenses paid via Credit Card</t>
  </si>
  <si>
    <t>Operations</t>
  </si>
  <si>
    <t>Utilities</t>
  </si>
  <si>
    <t>Cash</t>
  </si>
  <si>
    <t>5</t>
  </si>
  <si>
    <t>Total Salaries for the HR department</t>
  </si>
  <si>
    <t>6</t>
  </si>
  <si>
    <t>Total Software expenses in January 2025</t>
  </si>
  <si>
    <t>7</t>
  </si>
  <si>
    <t>Total Travel expenses in West region using Credit Card</t>
  </si>
  <si>
    <t>8</t>
  </si>
  <si>
    <t>Total expenses for IT department in February 2025</t>
  </si>
  <si>
    <t>9</t>
  </si>
  <si>
    <t>Total Office Supplies in North region</t>
  </si>
  <si>
    <t>10</t>
  </si>
  <si>
    <t>Total Utilities expenses paid via Bank Transfer</t>
  </si>
  <si>
    <t>11</t>
  </si>
  <si>
    <t>Total expenses between 01-Jan-2025 and 31-Jan-2025 for the East region</t>
  </si>
  <si>
    <t>12</t>
  </si>
  <si>
    <t>Total Salaries in the East region in February 2025</t>
  </si>
  <si>
    <t>13</t>
  </si>
  <si>
    <t>Total Travel expenses for Sales department in January 2025</t>
  </si>
  <si>
    <t>14</t>
  </si>
  <si>
    <t>Total Software expenses in South region for all months</t>
  </si>
  <si>
    <t>15</t>
  </si>
  <si>
    <t>Total Office Supplies in January 2025 paid by Credit Card</t>
  </si>
  <si>
    <t>16</t>
  </si>
  <si>
    <t>Total Utilities in East region for Feb 2025 only</t>
  </si>
  <si>
    <t>17</t>
  </si>
  <si>
    <t>Total expenses for Marketing department excluding Travel</t>
  </si>
  <si>
    <t>18</t>
  </si>
  <si>
    <t>Total Salaries for any department in North region</t>
  </si>
  <si>
    <t>19</t>
  </si>
  <si>
    <t>Total expenses in Feb 2025 for all Bank Transfer payments</t>
  </si>
  <si>
    <t>20</t>
  </si>
  <si>
    <t>Total expenses in Feb 2025 for Sales and IT combined</t>
  </si>
  <si>
    <t>https://pivotxl.com/sumifs-practice-problems/</t>
  </si>
  <si>
    <t>Count how many customers are from South region AND Due in March 2025</t>
  </si>
  <si>
    <t>Count Paid accounts with Amount ≥ 450 and ≤ 700</t>
  </si>
  <si>
    <t>Count accounts due before February 2025</t>
  </si>
  <si>
    <t>Count customers whose name has exactly 4 letters</t>
  </si>
  <si>
    <t>Count customers whose name starts with 'S'</t>
  </si>
  <si>
    <t>Count Paid accounts from North or South</t>
  </si>
  <si>
    <t>Count Overdue accounts not from the South</t>
  </si>
  <si>
    <t>Count customers with Amount between 400 and 600</t>
  </si>
  <si>
    <t>Count Paid accounts with Due Date in March 2025</t>
  </si>
  <si>
    <t>Count accounts with Due Date in February 2025</t>
  </si>
  <si>
    <t>Count accounts from East region with Amount &gt; 400</t>
  </si>
  <si>
    <t>Count Paid accounts with Amount &lt; 500</t>
  </si>
  <si>
    <t>18-Mar-25</t>
  </si>
  <si>
    <t>Overdue</t>
  </si>
  <si>
    <t>Paul</t>
  </si>
  <si>
    <t>Count Overdue accounts with Amount &gt; 500</t>
  </si>
  <si>
    <t>12-Mar-25</t>
  </si>
  <si>
    <t>Paid</t>
  </si>
  <si>
    <t>Leo</t>
  </si>
  <si>
    <t>Count Paid accounts in the South region</t>
  </si>
  <si>
    <t>10-Jan-25</t>
  </si>
  <si>
    <t>Sara</t>
  </si>
  <si>
    <t>Count Overdue accounts in the North region</t>
  </si>
  <si>
    <t>05-Feb-25</t>
  </si>
  <si>
    <t>Count customers with Amount less than 400</t>
  </si>
  <si>
    <t>25-Mar-25</t>
  </si>
  <si>
    <t>Nina</t>
  </si>
  <si>
    <t>Count customers with Amount greater than 500</t>
  </si>
  <si>
    <t>20-Feb-25</t>
  </si>
  <si>
    <t>Alex</t>
  </si>
  <si>
    <t>Count how many customers are from the North region</t>
  </si>
  <si>
    <t>15-Mar-25</t>
  </si>
  <si>
    <t>Rita</t>
  </si>
  <si>
    <t>Count how many accounts are Paid</t>
  </si>
  <si>
    <t>10-Feb-25</t>
  </si>
  <si>
    <t>Sam</t>
  </si>
  <si>
    <t>Count how many accounts are Overdue</t>
  </si>
  <si>
    <t>05-Jan-25</t>
  </si>
  <si>
    <t>Formula</t>
  </si>
  <si>
    <t>Problem</t>
  </si>
  <si>
    <t>01-Jan-25</t>
  </si>
  <si>
    <t>Practice Problems &amp; Solutions</t>
  </si>
  <si>
    <t>Due Date</t>
  </si>
  <si>
    <t>Customer</t>
  </si>
  <si>
    <t>https://pivotxl.com/countif-countifs-excel-practice-problems/</t>
  </si>
  <si>
    <t>EmpID</t>
  </si>
  <si>
    <t>Name</t>
  </si>
  <si>
    <t>Location</t>
  </si>
  <si>
    <t>Salary</t>
  </si>
  <si>
    <t>Bonus %</t>
  </si>
  <si>
    <t>Solution</t>
  </si>
  <si>
    <t>Alice Wong</t>
  </si>
  <si>
    <t>Finance</t>
  </si>
  <si>
    <t>New York</t>
  </si>
  <si>
    <t>1. Find the Name of the employee with EmpID = 104.</t>
  </si>
  <si>
    <t>Bob Smith</t>
  </si>
  <si>
    <t>Chicago</t>
  </si>
  <si>
    <t>2. Find the Department of employee 106.</t>
  </si>
  <si>
    <t>Carol Jones</t>
  </si>
  <si>
    <t>San Diego</t>
  </si>
  <si>
    <t>3. Find the Salary of employee 102.</t>
  </si>
  <si>
    <t>David Chen</t>
  </si>
  <si>
    <t>4. Retrieve the Bonus % for EmpID = 109.</t>
  </si>
  <si>
    <t>Emily Davis</t>
  </si>
  <si>
    <t>5. Find the Location of employee 101.</t>
  </si>
  <si>
    <t>Frank Lee</t>
  </si>
  <si>
    <t>Boston</t>
  </si>
  <si>
    <t>6. Using EmpID, get the Salary of 110.</t>
  </si>
  <si>
    <t>Grace Hall</t>
  </si>
  <si>
    <t>7. Retrieve the Department of 103.</t>
  </si>
  <si>
    <t>Henry Adams</t>
  </si>
  <si>
    <t>8. Find the Name of the employee who earns 62,000.</t>
  </si>
  <si>
    <t>Irene Scott</t>
  </si>
  <si>
    <t>9. Find the Salary of 105 and add the Bonus % to compute total compensation.</t>
  </si>
  <si>
    <t>Jack White</t>
  </si>
  <si>
    <t>10. Lookup the Location of 107.</t>
  </si>
  <si>
    <t>11. Find the Bonus % of 102 and calculate the Bonus Amount.</t>
  </si>
  <si>
    <t>12. Return the Department for employee 108.</t>
  </si>
  <si>
    <t>13. Get the Name of employee 109.</t>
  </si>
  <si>
    <t>14. Find the Salary of the employee in Boston (Finance).</t>
  </si>
  <si>
    <t>15. Retrieve the Department of 101.</t>
  </si>
  <si>
    <t>16. Find the Bonus % of the highest-salary employee (EmpID 110).</t>
  </si>
  <si>
    <t>17. Lookup the Salary for 103 and apply a 5% increment.</t>
  </si>
  <si>
    <t>18. Find the Location of 105.</t>
  </si>
  <si>
    <t>19. Return the Name of employee 106.</t>
  </si>
  <si>
    <t>20. For EmpID 107, calculate Salary + (Salary * Bonus %).</t>
  </si>
  <si>
    <t>https://pivotxl.com/vlookup-practice-exercises/</t>
  </si>
  <si>
    <t>HLOOKUP Practice Data</t>
  </si>
  <si>
    <t>Record1</t>
  </si>
  <si>
    <t>Record2</t>
  </si>
  <si>
    <t>Record3</t>
  </si>
  <si>
    <t>Record4</t>
  </si>
  <si>
    <t>Record5</t>
  </si>
  <si>
    <t>Record6</t>
  </si>
  <si>
    <t>Record7</t>
  </si>
  <si>
    <t>Record8</t>
  </si>
  <si>
    <t>Record9</t>
  </si>
  <si>
    <t>Record10</t>
  </si>
  <si>
    <t>1. Use HLOOKUP to find the Name of EmpID 104.</t>
  </si>
  <si>
    <t>2. Retrieve the Department of EmpID 106.</t>
  </si>
  <si>
    <t>3. Find the Salary of EmpID 102.</t>
  </si>
  <si>
    <t>4. Get the Bonus % for EmpID 109.</t>
  </si>
  <si>
    <t>5. Find the Location of EmpID 101.</t>
  </si>
  <si>
    <t>6. Use HLOOKUP to return the Salary of EmpID 110.</t>
  </si>
  <si>
    <t>7. Retrieve the Department of EmpID 103.</t>
  </si>
  <si>
    <t>8. Find the Name of the employee with Salary 62,000 (needs MATCH).</t>
  </si>
  <si>
    <t>Requires INDEX/MATCH combo → Emily Davis</t>
  </si>
  <si>
    <t>9. Compute total compensation for EmpID 105 (Salary + Bonus).</t>
  </si>
  <si>
    <t>10. Get the Location of EmpID 107.</t>
  </si>
  <si>
    <t>https://pivotxl.com/hlookup-practice-exercises-xls-download/</t>
  </si>
  <si>
    <t>Phone</t>
  </si>
  <si>
    <t>Chair</t>
  </si>
  <si>
    <t>Furniture</t>
  </si>
  <si>
    <t>Desk</t>
  </si>
  <si>
    <t>INDEX MATCH Practice Problems &amp; Solutions</t>
  </si>
  <si>
    <t>Find the sales of 'Phone'</t>
  </si>
  <si>
    <t>Get the Region for Product ID 104</t>
  </si>
  <si>
    <t>Find the Category of 'Monitor'</t>
  </si>
  <si>
    <t>Lookup Sales for Product ID 101</t>
  </si>
  <si>
    <t>Find the Product Name sold in the East region</t>
  </si>
  <si>
    <t>Return the Region for Product Name = Chair</t>
  </si>
  <si>
    <t>Find Sales where Product ID = 105</t>
  </si>
  <si>
    <t>Get Category for Product ID 102</t>
  </si>
  <si>
    <t>Find Product Name for Sales = 2500</t>
  </si>
  <si>
    <t>Lookup Region for Product Name = Laptop</t>
  </si>
  <si>
    <t>https://pivotxl.com/index-match-practice-exercises-xls-download/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</si>
</sst>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D3134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0" xfId="0" applyFont="1"/>
    <xf numFmtId="0" fontId="5" fillId="2" borderId="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5" fillId="3" borderId="7" xfId="0" applyFont="1" applyFill="1" applyBorder="1"/>
    <xf numFmtId="0" fontId="5" fillId="4" borderId="8" xfId="0" applyFont="1" applyFill="1" applyBorder="1"/>
    <xf numFmtId="0" fontId="5" fillId="4" borderId="0" xfId="0" applyFont="1" applyFill="1" applyBorder="1"/>
    <xf numFmtId="0" fontId="6" fillId="0" borderId="3" xfId="0" applyFont="1" applyBorder="1"/>
    <xf numFmtId="0" fontId="6" fillId="5" borderId="0" xfId="0" applyFont="1" applyFill="1"/>
    <xf numFmtId="0" fontId="6" fillId="6" borderId="9" xfId="0" applyFont="1" applyFill="1" applyBorder="1"/>
    <xf numFmtId="0" fontId="6" fillId="6" borderId="0" xfId="0" applyFont="1" applyFill="1" applyBorder="1"/>
    <xf numFmtId="0" fontId="6" fillId="7" borderId="0" xfId="0" applyFont="1" applyFill="1" applyBorder="1"/>
    <xf numFmtId="0" fontId="6" fillId="0" borderId="9" xfId="0" applyFont="1" applyBorder="1"/>
    <xf numFmtId="0" fontId="6" fillId="0" borderId="0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5" fillId="0" borderId="3" xfId="0" applyFont="1" applyBorder="1"/>
    <xf numFmtId="0" fontId="5" fillId="0" borderId="13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5" fillId="3" borderId="14" xfId="0" applyFont="1" applyFill="1" applyBorder="1"/>
    <xf numFmtId="0" fontId="5" fillId="4" borderId="16" xfId="0" applyFont="1" applyFill="1" applyBorder="1"/>
    <xf numFmtId="0" fontId="6" fillId="5" borderId="17" xfId="0" applyFont="1" applyFill="1" applyBorder="1"/>
    <xf numFmtId="0" fontId="6" fillId="6" borderId="18" xfId="0" applyFont="1" applyFill="1" applyBorder="1"/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/>
    <xf numFmtId="0" fontId="6" fillId="0" borderId="21" xfId="0" applyFont="1" applyBorder="1"/>
    <xf numFmtId="0" fontId="6" fillId="8" borderId="14" xfId="0" applyFont="1" applyFill="1" applyBorder="1" applyAlignment="1">
      <alignment vertical="center" wrapText="1"/>
    </xf>
    <xf numFmtId="0" fontId="6" fillId="8" borderId="19" xfId="0" applyFont="1" applyFill="1" applyBorder="1" applyAlignment="1">
      <alignment vertical="center" wrapText="1"/>
    </xf>
    <xf numFmtId="0" fontId="4" fillId="3" borderId="8" xfId="0" applyFont="1" applyFill="1" applyBorder="1"/>
    <xf numFmtId="0" fontId="2" fillId="0" borderId="3" xfId="0" applyFont="1" applyBorder="1"/>
    <xf numFmtId="0" fontId="2" fillId="6" borderId="9" xfId="0" applyFont="1" applyFill="1" applyBorder="1"/>
    <xf numFmtId="0" fontId="2" fillId="0" borderId="10" xfId="0" applyFont="1" applyBorder="1"/>
    <xf numFmtId="0" fontId="2" fillId="6" borderId="12" xfId="0" applyFont="1" applyFill="1" applyBorder="1"/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8" fillId="3" borderId="8" xfId="0" applyFont="1" applyFill="1" applyBorder="1"/>
    <xf numFmtId="0" fontId="9" fillId="0" borderId="3" xfId="0" applyFont="1" applyBorder="1"/>
    <xf numFmtId="0" fontId="9" fillId="6" borderId="9" xfId="0" applyFont="1" applyFill="1" applyBorder="1"/>
    <xf numFmtId="0" fontId="9" fillId="0" borderId="10" xfId="0" applyFont="1" applyBorder="1"/>
    <xf numFmtId="0" fontId="9" fillId="6" borderId="12" xfId="0" applyFont="1" applyFill="1" applyBorder="1"/>
    <xf numFmtId="0" fontId="10" fillId="0" borderId="0" xfId="0" applyFont="1"/>
    <xf numFmtId="0" fontId="2" fillId="0" borderId="22" xfId="0" applyFont="1" applyBorder="1"/>
    <xf numFmtId="0" fontId="2" fillId="0" borderId="23" xfId="0" applyFont="1" applyBorder="1"/>
    <xf numFmtId="0" fontId="9" fillId="0" borderId="9" xfId="0" applyFont="1" applyBorder="1"/>
    <xf numFmtId="0" fontId="9" fillId="0" borderId="3" xfId="0" applyFont="1" applyBorder="1" applyAlignment="1">
      <alignment vertical="center" wrapText="1"/>
    </xf>
    <xf numFmtId="0" fontId="9" fillId="0" borderId="11" xfId="0" applyFont="1" applyBorder="1"/>
    <xf numFmtId="0" fontId="9" fillId="0" borderId="12" xfId="0" applyFont="1" applyBorder="1"/>
    <xf numFmtId="0" fontId="9" fillId="0" borderId="5" xfId="0" applyFont="1" applyBorder="1" applyAlignment="1">
      <alignment vertical="center" wrapText="1"/>
    </xf>
    <xf numFmtId="0" fontId="9" fillId="0" borderId="22" xfId="0" applyFont="1" applyBorder="1"/>
    <xf numFmtId="0" fontId="8" fillId="3" borderId="7" xfId="0" applyFont="1" applyFill="1" applyBorder="1"/>
    <xf numFmtId="0" fontId="8" fillId="4" borderId="8" xfId="0" applyFont="1" applyFill="1" applyBorder="1"/>
    <xf numFmtId="0" fontId="9" fillId="5" borderId="0" xfId="0" applyFont="1" applyFill="1"/>
    <xf numFmtId="0" fontId="8" fillId="0" borderId="2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6" xfId="0" applyFont="1" applyBorder="1"/>
    <xf numFmtId="0" fontId="9" fillId="0" borderId="21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6" borderId="17" xfId="0" applyFont="1" applyFill="1" applyBorder="1" applyAlignment="1">
      <alignment horizontal="center"/>
    </xf>
    <xf numFmtId="0" fontId="9" fillId="9" borderId="14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0" fontId="12" fillId="0" borderId="0" xfId="0" applyFont="1"/>
    <xf numFmtId="164" fontId="12" fillId="0" borderId="1" xfId="0" applyNumberFormat="1" applyFont="1" applyBorder="1" applyAlignment="1">
      <alignment horizontal="center" vertical="top"/>
    </xf>
    <xf numFmtId="0" fontId="12" fillId="0" borderId="28" xfId="0" applyFont="1" applyBorder="1" applyAlignment="1">
      <alignment horizontal="center" vertical="top"/>
    </xf>
    <xf numFmtId="164" fontId="10" fillId="0" borderId="0" xfId="0" applyNumberFormat="1" applyFont="1"/>
    <xf numFmtId="164" fontId="13" fillId="0" borderId="0" xfId="1" applyNumberFormat="1" applyFont="1"/>
    <xf numFmtId="0" fontId="3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1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left" wrapText="1"/>
    </xf>
    <xf numFmtId="0" fontId="0" fillId="0" borderId="17" xfId="0" applyFont="1" applyBorder="1" applyAlignment="1">
      <alignment horizontal="left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3" fillId="0" borderId="0" xfId="1" applyFont="1" applyAlignment="1">
      <alignment wrapText="1"/>
    </xf>
    <xf numFmtId="0" fontId="10" fillId="0" borderId="0" xfId="0" applyFont="1" applyAlignment="1">
      <alignment wrapText="1"/>
    </xf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ivotxl.com/sumifs-practice-problem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ivotxl.com/countif-countifs-excel-practice-problem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ivotxl.com/vlookup-practice-exercise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ivotxl.com/hlookup-practice-exercises-xls-download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ivotxl.com/index-match-practice-exercises-xls-downlo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workbookViewId="0">
      <selection activeCell="D13" sqref="D13"/>
    </sheetView>
  </sheetViews>
  <sheetFormatPr defaultRowHeight="14.4" x14ac:dyDescent="0.3"/>
  <cols>
    <col min="1" max="1" width="9.44140625" bestFit="1" customWidth="1"/>
    <col min="2" max="2" width="5.6640625" bestFit="1" customWidth="1"/>
    <col min="3" max="3" width="7.21875" bestFit="1" customWidth="1"/>
    <col min="4" max="4" width="13.44140625" bestFit="1" customWidth="1"/>
    <col min="5" max="5" width="8.5546875" bestFit="1" customWidth="1"/>
    <col min="6" max="6" width="6.88671875" bestFit="1" customWidth="1"/>
    <col min="8" max="8" width="29.33203125" customWidth="1"/>
    <col min="9" max="9" width="60" bestFit="1" customWidth="1"/>
  </cols>
  <sheetData>
    <row r="1" spans="1:9" s="11" customFormat="1" ht="16.8" x14ac:dyDescent="0.3">
      <c r="A1" s="94" t="s">
        <v>0</v>
      </c>
      <c r="B1" s="94"/>
      <c r="C1" s="94"/>
      <c r="D1" s="94"/>
      <c r="E1" s="94"/>
      <c r="F1" s="94"/>
    </row>
    <row r="2" spans="1:9" x14ac:dyDescent="0.3">
      <c r="A2" s="3" t="s">
        <v>1</v>
      </c>
      <c r="B2" s="3" t="s">
        <v>2</v>
      </c>
      <c r="C2" s="10"/>
      <c r="D2" s="5" t="s">
        <v>3</v>
      </c>
      <c r="E2" s="6" t="s">
        <v>4</v>
      </c>
      <c r="F2" s="9"/>
    </row>
    <row r="3" spans="1:9" x14ac:dyDescent="0.3">
      <c r="A3" s="9" t="s">
        <v>5</v>
      </c>
      <c r="B3" s="9">
        <v>500</v>
      </c>
      <c r="C3" s="10"/>
      <c r="D3" s="21" t="s">
        <v>6</v>
      </c>
      <c r="E3" s="8">
        <f>AVERAGE(B3:B12)</f>
        <v>645</v>
      </c>
      <c r="F3" s="9" t="s">
        <v>30</v>
      </c>
    </row>
    <row r="4" spans="1:9" x14ac:dyDescent="0.3">
      <c r="A4" s="9" t="s">
        <v>7</v>
      </c>
      <c r="B4" s="9">
        <v>650</v>
      </c>
      <c r="C4" s="10"/>
      <c r="D4" s="21" t="s">
        <v>8</v>
      </c>
      <c r="E4" s="8">
        <f>MEDIAN(B3:B12)</f>
        <v>650</v>
      </c>
      <c r="F4" s="9" t="s">
        <v>31</v>
      </c>
    </row>
    <row r="5" spans="1:9" x14ac:dyDescent="0.3">
      <c r="A5" s="9" t="s">
        <v>9</v>
      </c>
      <c r="B5" s="9">
        <v>500</v>
      </c>
      <c r="C5" s="10"/>
      <c r="D5" s="21" t="s">
        <v>10</v>
      </c>
      <c r="E5" s="8">
        <f>MODE(B3:B12)</f>
        <v>650</v>
      </c>
      <c r="F5" s="9" t="s">
        <v>32</v>
      </c>
    </row>
    <row r="6" spans="1:9" x14ac:dyDescent="0.3">
      <c r="A6" s="19" t="s">
        <v>11</v>
      </c>
      <c r="B6" s="19">
        <v>750</v>
      </c>
      <c r="C6" s="20"/>
      <c r="D6" s="17"/>
      <c r="E6" s="17"/>
      <c r="F6" s="17"/>
      <c r="G6" s="1"/>
      <c r="H6" s="1"/>
    </row>
    <row r="7" spans="1:9" x14ac:dyDescent="0.3">
      <c r="A7" s="9" t="s">
        <v>12</v>
      </c>
      <c r="B7" s="9">
        <v>650</v>
      </c>
      <c r="C7" s="10"/>
      <c r="D7" s="17"/>
      <c r="E7" s="17"/>
      <c r="F7" s="16"/>
    </row>
    <row r="8" spans="1:9" x14ac:dyDescent="0.3">
      <c r="A8" s="7" t="s">
        <v>13</v>
      </c>
      <c r="B8" s="7">
        <v>700</v>
      </c>
      <c r="C8" s="4"/>
      <c r="D8" s="2"/>
      <c r="E8" s="2"/>
      <c r="F8" s="18"/>
    </row>
    <row r="9" spans="1:9" x14ac:dyDescent="0.3">
      <c r="A9" s="7" t="s">
        <v>14</v>
      </c>
      <c r="B9" s="7">
        <v>550</v>
      </c>
      <c r="C9" s="4"/>
      <c r="D9" s="2"/>
      <c r="E9" s="2"/>
      <c r="F9" s="18"/>
    </row>
    <row r="10" spans="1:9" x14ac:dyDescent="0.3">
      <c r="A10" s="7" t="s">
        <v>15</v>
      </c>
      <c r="B10" s="7">
        <v>650</v>
      </c>
      <c r="C10" s="4"/>
      <c r="D10" s="2"/>
      <c r="E10" s="2"/>
      <c r="F10" s="18"/>
    </row>
    <row r="11" spans="1:9" x14ac:dyDescent="0.3">
      <c r="A11" s="7" t="s">
        <v>16</v>
      </c>
      <c r="B11" s="7">
        <v>800</v>
      </c>
      <c r="C11" s="4"/>
      <c r="D11" s="2"/>
      <c r="E11" s="2"/>
      <c r="F11" s="18"/>
    </row>
    <row r="12" spans="1:9" x14ac:dyDescent="0.3">
      <c r="A12" s="7" t="s">
        <v>17</v>
      </c>
      <c r="B12" s="7">
        <v>700</v>
      </c>
      <c r="C12" s="7"/>
      <c r="D12" s="18"/>
      <c r="E12" s="18"/>
      <c r="F12" s="18"/>
    </row>
    <row r="15" spans="1:9" ht="16.8" x14ac:dyDescent="0.3">
      <c r="A15" s="94" t="s">
        <v>18</v>
      </c>
      <c r="B15" s="94"/>
      <c r="C15" s="94"/>
      <c r="D15" s="94"/>
      <c r="E15" s="94"/>
      <c r="F15" s="94"/>
      <c r="G15" s="94"/>
      <c r="H15" s="94"/>
      <c r="I15" s="94"/>
    </row>
    <row r="16" spans="1:9" x14ac:dyDescent="0.3">
      <c r="A16" s="3" t="s">
        <v>1</v>
      </c>
      <c r="B16" s="3" t="s">
        <v>2</v>
      </c>
      <c r="C16" s="3" t="s">
        <v>19</v>
      </c>
      <c r="D16" s="3" t="s">
        <v>20</v>
      </c>
      <c r="E16" s="4"/>
      <c r="F16" s="12" t="s">
        <v>21</v>
      </c>
      <c r="G16" s="13" t="s">
        <v>4</v>
      </c>
      <c r="H16" s="4"/>
      <c r="I16" s="7"/>
    </row>
    <row r="17" spans="1:9" x14ac:dyDescent="0.3">
      <c r="A17" s="7" t="s">
        <v>5</v>
      </c>
      <c r="B17" s="7">
        <v>500</v>
      </c>
      <c r="C17" s="7" t="s">
        <v>22</v>
      </c>
      <c r="D17" s="7" t="s">
        <v>23</v>
      </c>
      <c r="E17" s="4"/>
      <c r="F17" s="14" t="s">
        <v>6</v>
      </c>
      <c r="G17" s="15">
        <f>SUMIF($D$17:$D$26,"Electronics",$B$17:$B$26)</f>
        <v>2500</v>
      </c>
      <c r="H17" s="4" t="s">
        <v>33</v>
      </c>
      <c r="I17" s="7" t="s">
        <v>35</v>
      </c>
    </row>
    <row r="18" spans="1:9" x14ac:dyDescent="0.3">
      <c r="A18" s="7" t="s">
        <v>7</v>
      </c>
      <c r="B18" s="7">
        <v>650</v>
      </c>
      <c r="C18" s="7" t="s">
        <v>24</v>
      </c>
      <c r="D18" s="7" t="s">
        <v>25</v>
      </c>
      <c r="E18" s="4"/>
      <c r="F18" s="14" t="s">
        <v>8</v>
      </c>
      <c r="G18" s="15">
        <f>SUMIFS($B$17:$B$26,$D$17:$D$26,"Electronics",$C$17:$C$26,"North")</f>
        <v>1000</v>
      </c>
      <c r="H18" s="4" t="s">
        <v>34</v>
      </c>
      <c r="I18" s="7" t="s">
        <v>36</v>
      </c>
    </row>
    <row r="19" spans="1:9" x14ac:dyDescent="0.3">
      <c r="A19" s="7" t="s">
        <v>9</v>
      </c>
      <c r="B19" s="7">
        <v>500</v>
      </c>
      <c r="C19" s="7" t="s">
        <v>22</v>
      </c>
      <c r="D19" s="7" t="s">
        <v>23</v>
      </c>
      <c r="E19" s="4"/>
      <c r="F19" s="14" t="s">
        <v>10</v>
      </c>
      <c r="G19" s="15">
        <f>AVERAGEIF($C$17:$C$26,"North",$B$17:$B$26)</f>
        <v>550</v>
      </c>
      <c r="H19" s="4" t="s">
        <v>37</v>
      </c>
      <c r="I19" s="7" t="s">
        <v>38</v>
      </c>
    </row>
    <row r="20" spans="1:9" x14ac:dyDescent="0.3">
      <c r="A20" s="7" t="s">
        <v>11</v>
      </c>
      <c r="B20" s="7">
        <v>750</v>
      </c>
      <c r="C20" s="7" t="s">
        <v>26</v>
      </c>
      <c r="D20" s="7" t="s">
        <v>27</v>
      </c>
      <c r="E20" s="4"/>
      <c r="F20" s="14" t="s">
        <v>28</v>
      </c>
      <c r="G20" s="15">
        <f>AVERAGEIFS($B$17:$B$26,$D$17:$D$26,"Electronics",$C$17:$C$26,"North")</f>
        <v>500</v>
      </c>
      <c r="H20" s="4" t="s">
        <v>39</v>
      </c>
      <c r="I20" s="7" t="s">
        <v>40</v>
      </c>
    </row>
    <row r="21" spans="1:9" x14ac:dyDescent="0.3">
      <c r="A21" s="7" t="s">
        <v>12</v>
      </c>
      <c r="B21" s="7">
        <v>650</v>
      </c>
      <c r="C21" s="7" t="s">
        <v>24</v>
      </c>
      <c r="D21" s="7" t="s">
        <v>25</v>
      </c>
      <c r="E21" s="4"/>
      <c r="F21" s="4"/>
      <c r="G21" s="4"/>
      <c r="H21" s="4"/>
      <c r="I21" s="7"/>
    </row>
    <row r="22" spans="1:9" x14ac:dyDescent="0.3">
      <c r="A22" s="7" t="s">
        <v>13</v>
      </c>
      <c r="B22" s="7">
        <v>700</v>
      </c>
      <c r="C22" s="7" t="s">
        <v>29</v>
      </c>
      <c r="D22" s="7" t="s">
        <v>23</v>
      </c>
      <c r="E22" s="4"/>
      <c r="F22" s="4"/>
      <c r="G22" s="4"/>
      <c r="H22" s="4"/>
      <c r="I22" s="7"/>
    </row>
    <row r="23" spans="1:9" x14ac:dyDescent="0.3">
      <c r="A23" s="7" t="s">
        <v>14</v>
      </c>
      <c r="B23" s="7">
        <v>550</v>
      </c>
      <c r="C23" s="7" t="s">
        <v>26</v>
      </c>
      <c r="D23" s="7" t="s">
        <v>27</v>
      </c>
      <c r="E23" s="4"/>
      <c r="F23" s="4"/>
      <c r="G23" s="4"/>
      <c r="H23" s="4"/>
      <c r="I23" s="7"/>
    </row>
    <row r="24" spans="1:9" x14ac:dyDescent="0.3">
      <c r="A24" s="7" t="s">
        <v>15</v>
      </c>
      <c r="B24" s="7">
        <v>650</v>
      </c>
      <c r="C24" s="7" t="s">
        <v>22</v>
      </c>
      <c r="D24" s="7" t="s">
        <v>25</v>
      </c>
      <c r="E24" s="4"/>
      <c r="F24" s="4"/>
      <c r="G24" s="4"/>
      <c r="H24" s="4"/>
      <c r="I24" s="7"/>
    </row>
    <row r="25" spans="1:9" x14ac:dyDescent="0.3">
      <c r="A25" s="7" t="s">
        <v>16</v>
      </c>
      <c r="B25" s="7">
        <v>800</v>
      </c>
      <c r="C25" s="7" t="s">
        <v>29</v>
      </c>
      <c r="D25" s="7" t="s">
        <v>23</v>
      </c>
      <c r="E25" s="4"/>
      <c r="F25" s="4"/>
      <c r="G25" s="4"/>
      <c r="H25" s="4"/>
      <c r="I25" s="7"/>
    </row>
    <row r="26" spans="1:9" x14ac:dyDescent="0.3">
      <c r="A26" s="7" t="s">
        <v>17</v>
      </c>
      <c r="B26" s="7">
        <v>700</v>
      </c>
      <c r="C26" s="7" t="s">
        <v>26</v>
      </c>
      <c r="D26" s="7" t="s">
        <v>25</v>
      </c>
      <c r="E26" s="7"/>
      <c r="F26" s="7"/>
      <c r="G26" s="7"/>
      <c r="H26" s="7"/>
      <c r="I26" s="7"/>
    </row>
  </sheetData>
  <mergeCells count="2">
    <mergeCell ref="A1:F1"/>
    <mergeCell ref="A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999E-1101-4859-A1BA-0F620A8FCB3D}">
  <dimension ref="A1:J51"/>
  <sheetViews>
    <sheetView workbookViewId="0">
      <selection activeCell="G21" sqref="G21"/>
    </sheetView>
  </sheetViews>
  <sheetFormatPr defaultColWidth="14" defaultRowHeight="14.4" x14ac:dyDescent="0.3"/>
  <cols>
    <col min="1" max="4" width="14" style="22"/>
    <col min="5" max="7" width="12.21875" style="22" customWidth="1"/>
    <col min="8" max="8" width="17.44140625" style="22" customWidth="1"/>
    <col min="9" max="10" width="29.44140625" style="22" customWidth="1"/>
    <col min="11" max="16384" width="14" style="22"/>
  </cols>
  <sheetData>
    <row r="1" spans="1:9" ht="15" thickBot="1" x14ac:dyDescent="0.35">
      <c r="A1" s="96" t="s">
        <v>18</v>
      </c>
      <c r="B1" s="97"/>
      <c r="C1" s="97"/>
      <c r="D1" s="97"/>
      <c r="E1" s="97"/>
      <c r="F1" s="97"/>
      <c r="G1" s="98"/>
      <c r="H1" s="23"/>
    </row>
    <row r="2" spans="1:9" ht="15" thickBot="1" x14ac:dyDescent="0.35">
      <c r="A2" s="24" t="s">
        <v>1</v>
      </c>
      <c r="B2" s="24" t="s">
        <v>41</v>
      </c>
      <c r="C2" s="24" t="s">
        <v>2</v>
      </c>
      <c r="D2" s="24" t="s">
        <v>42</v>
      </c>
      <c r="E2" s="25"/>
      <c r="F2" s="26" t="s">
        <v>21</v>
      </c>
      <c r="G2" s="27" t="s">
        <v>43</v>
      </c>
      <c r="H2" s="28"/>
    </row>
    <row r="3" spans="1:9" ht="15" thickBot="1" x14ac:dyDescent="0.35">
      <c r="A3" s="29" t="s">
        <v>5</v>
      </c>
      <c r="B3" s="29">
        <v>30</v>
      </c>
      <c r="C3" s="29">
        <v>500</v>
      </c>
      <c r="D3" s="29" t="s">
        <v>2</v>
      </c>
      <c r="E3" s="25"/>
      <c r="F3" s="30" t="s">
        <v>6</v>
      </c>
      <c r="G3" s="31">
        <f>COUNT(B3:B12)</f>
        <v>8</v>
      </c>
      <c r="H3" s="32" t="s">
        <v>56</v>
      </c>
      <c r="I3" s="22" t="s">
        <v>47</v>
      </c>
    </row>
    <row r="4" spans="1:9" ht="15" thickBot="1" x14ac:dyDescent="0.35">
      <c r="A4" s="29" t="s">
        <v>7</v>
      </c>
      <c r="B4" s="29">
        <v>28</v>
      </c>
      <c r="C4" s="29">
        <v>650</v>
      </c>
      <c r="D4" s="29" t="s">
        <v>44</v>
      </c>
      <c r="E4" s="25"/>
      <c r="F4" s="30" t="s">
        <v>8</v>
      </c>
      <c r="G4" s="31">
        <f>COUNTA(B3:B12)</f>
        <v>9</v>
      </c>
      <c r="H4" s="32" t="s">
        <v>57</v>
      </c>
      <c r="I4" s="22" t="s">
        <v>48</v>
      </c>
    </row>
    <row r="5" spans="1:9" ht="15" thickBot="1" x14ac:dyDescent="0.35">
      <c r="A5" s="29" t="s">
        <v>9</v>
      </c>
      <c r="B5" s="29" t="s">
        <v>49</v>
      </c>
      <c r="C5" s="29">
        <v>500</v>
      </c>
      <c r="D5" s="29" t="s">
        <v>2</v>
      </c>
      <c r="E5" s="25"/>
      <c r="F5" s="30" t="s">
        <v>10</v>
      </c>
      <c r="G5" s="31">
        <f>COUNTBLANK(B3:B12)</f>
        <v>1</v>
      </c>
      <c r="H5" s="32" t="s">
        <v>58</v>
      </c>
      <c r="I5" s="22" t="s">
        <v>50</v>
      </c>
    </row>
    <row r="6" spans="1:9" ht="15" thickBot="1" x14ac:dyDescent="0.35">
      <c r="A6" s="29" t="s">
        <v>11</v>
      </c>
      <c r="B6" s="29">
        <v>35</v>
      </c>
      <c r="C6" s="29"/>
      <c r="D6" s="29" t="s">
        <v>45</v>
      </c>
      <c r="E6" s="25"/>
      <c r="F6" s="25"/>
      <c r="G6" s="31" t="str">
        <f>IF(COUNTBLANK(C3:C12)&gt;0,"Data Missing","No Data Missing")</f>
        <v>Data Missing</v>
      </c>
      <c r="H6" s="33" t="s">
        <v>59</v>
      </c>
      <c r="I6" s="22" t="s">
        <v>51</v>
      </c>
    </row>
    <row r="7" spans="1:9" ht="15" thickBot="1" x14ac:dyDescent="0.35">
      <c r="A7" s="29" t="s">
        <v>12</v>
      </c>
      <c r="B7" s="29">
        <v>32</v>
      </c>
      <c r="C7" s="29">
        <v>650</v>
      </c>
      <c r="D7" s="29" t="s">
        <v>44</v>
      </c>
      <c r="E7" s="25"/>
      <c r="F7" s="25"/>
      <c r="G7" s="34"/>
      <c r="H7" s="35"/>
      <c r="I7" s="22" t="s">
        <v>52</v>
      </c>
    </row>
    <row r="8" spans="1:9" ht="15" thickBot="1" x14ac:dyDescent="0.35">
      <c r="A8" s="29" t="s">
        <v>13</v>
      </c>
      <c r="B8" s="29">
        <v>29</v>
      </c>
      <c r="C8" s="29">
        <v>700</v>
      </c>
      <c r="D8" s="29" t="s">
        <v>46</v>
      </c>
      <c r="E8" s="25"/>
      <c r="F8" s="25"/>
      <c r="G8" s="34"/>
    </row>
    <row r="9" spans="1:9" ht="15" thickBot="1" x14ac:dyDescent="0.35">
      <c r="A9" s="29" t="s">
        <v>14</v>
      </c>
      <c r="B9" s="29"/>
      <c r="C9" s="29">
        <v>550</v>
      </c>
      <c r="D9" s="29" t="s">
        <v>45</v>
      </c>
      <c r="E9" s="25"/>
      <c r="F9" s="25"/>
      <c r="G9" s="34"/>
      <c r="H9" s="35"/>
    </row>
    <row r="10" spans="1:9" ht="15" thickBot="1" x14ac:dyDescent="0.35">
      <c r="A10" s="29" t="s">
        <v>15</v>
      </c>
      <c r="B10" s="29">
        <v>31</v>
      </c>
      <c r="C10" s="29">
        <v>650</v>
      </c>
      <c r="D10" s="29" t="s">
        <v>2</v>
      </c>
      <c r="E10" s="25"/>
      <c r="F10" s="25"/>
      <c r="G10" s="34"/>
      <c r="H10" s="35"/>
    </row>
    <row r="11" spans="1:9" ht="15" thickBot="1" x14ac:dyDescent="0.35">
      <c r="A11" s="29" t="s">
        <v>16</v>
      </c>
      <c r="B11" s="29">
        <v>40</v>
      </c>
      <c r="C11" s="29">
        <v>800</v>
      </c>
      <c r="D11" s="29" t="s">
        <v>46</v>
      </c>
      <c r="E11" s="25"/>
      <c r="F11" s="25"/>
      <c r="G11" s="34"/>
      <c r="H11" s="35"/>
    </row>
    <row r="12" spans="1:9" ht="15" thickBot="1" x14ac:dyDescent="0.35">
      <c r="A12" s="29" t="s">
        <v>17</v>
      </c>
      <c r="B12" s="29">
        <v>34</v>
      </c>
      <c r="C12" s="29"/>
      <c r="D12" s="29" t="s">
        <v>44</v>
      </c>
      <c r="E12" s="36"/>
      <c r="F12" s="37"/>
      <c r="G12" s="38"/>
      <c r="H12" s="35"/>
    </row>
    <row r="15" spans="1:9" ht="15" thickBot="1" x14ac:dyDescent="0.35"/>
    <row r="16" spans="1:9" ht="15" thickBot="1" x14ac:dyDescent="0.35">
      <c r="A16" s="96" t="s">
        <v>18</v>
      </c>
      <c r="B16" s="97"/>
      <c r="C16" s="97"/>
      <c r="D16" s="97"/>
      <c r="E16" s="97"/>
      <c r="F16" s="108"/>
      <c r="G16" s="108"/>
    </row>
    <row r="17" spans="1:9" ht="15" thickBot="1" x14ac:dyDescent="0.35">
      <c r="A17" s="24" t="s">
        <v>1</v>
      </c>
      <c r="B17" s="24" t="s">
        <v>41</v>
      </c>
      <c r="C17" s="24" t="s">
        <v>2</v>
      </c>
      <c r="D17" s="24" t="s">
        <v>42</v>
      </c>
      <c r="E17" s="41" t="s">
        <v>53</v>
      </c>
      <c r="F17" s="43" t="s">
        <v>21</v>
      </c>
      <c r="G17" s="44" t="s">
        <v>43</v>
      </c>
    </row>
    <row r="18" spans="1:9" ht="15" thickBot="1" x14ac:dyDescent="0.35">
      <c r="A18" s="29" t="s">
        <v>5</v>
      </c>
      <c r="B18" s="29">
        <v>30</v>
      </c>
      <c r="C18" s="29">
        <v>500</v>
      </c>
      <c r="D18" s="29" t="s">
        <v>2</v>
      </c>
      <c r="E18" s="42" t="s">
        <v>54</v>
      </c>
      <c r="F18" s="45" t="s">
        <v>6</v>
      </c>
      <c r="G18" s="46">
        <f>COUNTIF(B18:B27,"&gt;30")</f>
        <v>6</v>
      </c>
      <c r="H18" s="109" t="s">
        <v>70</v>
      </c>
      <c r="I18" s="110"/>
    </row>
    <row r="19" spans="1:9" ht="15" thickBot="1" x14ac:dyDescent="0.35">
      <c r="A19" s="29" t="s">
        <v>7</v>
      </c>
      <c r="B19" s="29">
        <v>28</v>
      </c>
      <c r="C19" s="29">
        <v>650</v>
      </c>
      <c r="D19" s="29" t="s">
        <v>44</v>
      </c>
      <c r="E19" s="42" t="s">
        <v>55</v>
      </c>
      <c r="F19" s="45" t="s">
        <v>8</v>
      </c>
      <c r="G19" s="46">
        <f>COUNTIF(E18:E27,"Male")</f>
        <v>5</v>
      </c>
      <c r="H19" s="109" t="s">
        <v>71</v>
      </c>
      <c r="I19" s="110"/>
    </row>
    <row r="20" spans="1:9" ht="15" thickBot="1" x14ac:dyDescent="0.35">
      <c r="A20" s="29" t="s">
        <v>9</v>
      </c>
      <c r="B20" s="29">
        <v>35</v>
      </c>
      <c r="C20" s="29">
        <v>500</v>
      </c>
      <c r="D20" s="29" t="s">
        <v>2</v>
      </c>
      <c r="E20" s="42" t="s">
        <v>54</v>
      </c>
      <c r="F20" s="47"/>
      <c r="G20" s="48"/>
    </row>
    <row r="21" spans="1:9" ht="15" thickBot="1" x14ac:dyDescent="0.35">
      <c r="A21" s="29" t="s">
        <v>11</v>
      </c>
      <c r="B21" s="29">
        <v>40</v>
      </c>
      <c r="C21" s="29">
        <v>750</v>
      </c>
      <c r="D21" s="29" t="s">
        <v>45</v>
      </c>
      <c r="E21" s="42" t="s">
        <v>55</v>
      </c>
      <c r="F21" s="47"/>
      <c r="G21" s="48"/>
    </row>
    <row r="22" spans="1:9" ht="15" thickBot="1" x14ac:dyDescent="0.35">
      <c r="A22" s="29" t="s">
        <v>12</v>
      </c>
      <c r="B22" s="29">
        <v>32</v>
      </c>
      <c r="C22" s="29">
        <v>650</v>
      </c>
      <c r="D22" s="29" t="s">
        <v>44</v>
      </c>
      <c r="E22" s="42" t="s">
        <v>54</v>
      </c>
      <c r="F22" s="47"/>
      <c r="G22" s="48"/>
    </row>
    <row r="23" spans="1:9" ht="15" thickBot="1" x14ac:dyDescent="0.35">
      <c r="A23" s="29" t="s">
        <v>13</v>
      </c>
      <c r="B23" s="29">
        <v>29</v>
      </c>
      <c r="C23" s="29">
        <v>700</v>
      </c>
      <c r="D23" s="29" t="s">
        <v>46</v>
      </c>
      <c r="E23" s="42" t="s">
        <v>55</v>
      </c>
      <c r="F23" s="47"/>
      <c r="G23" s="48"/>
    </row>
    <row r="24" spans="1:9" ht="15" thickBot="1" x14ac:dyDescent="0.35">
      <c r="A24" s="29" t="s">
        <v>14</v>
      </c>
      <c r="B24" s="29">
        <v>31</v>
      </c>
      <c r="C24" s="29">
        <v>550</v>
      </c>
      <c r="D24" s="29" t="s">
        <v>45</v>
      </c>
      <c r="E24" s="42" t="s">
        <v>54</v>
      </c>
      <c r="F24" s="47"/>
      <c r="G24" s="48"/>
    </row>
    <row r="25" spans="1:9" ht="15" thickBot="1" x14ac:dyDescent="0.35">
      <c r="A25" s="29" t="s">
        <v>15</v>
      </c>
      <c r="B25" s="29">
        <v>27</v>
      </c>
      <c r="C25" s="29">
        <v>650</v>
      </c>
      <c r="D25" s="29" t="s">
        <v>2</v>
      </c>
      <c r="E25" s="42" t="s">
        <v>55</v>
      </c>
      <c r="F25" s="47"/>
      <c r="G25" s="48"/>
    </row>
    <row r="26" spans="1:9" ht="15" thickBot="1" x14ac:dyDescent="0.35">
      <c r="A26" s="29" t="s">
        <v>16</v>
      </c>
      <c r="B26" s="29">
        <v>45</v>
      </c>
      <c r="C26" s="29">
        <v>800</v>
      </c>
      <c r="D26" s="29" t="s">
        <v>46</v>
      </c>
      <c r="E26" s="42" t="s">
        <v>54</v>
      </c>
      <c r="F26" s="47"/>
      <c r="G26" s="48"/>
    </row>
    <row r="27" spans="1:9" ht="15" thickBot="1" x14ac:dyDescent="0.35">
      <c r="A27" s="29" t="s">
        <v>17</v>
      </c>
      <c r="B27" s="29">
        <v>34</v>
      </c>
      <c r="C27" s="29">
        <v>700</v>
      </c>
      <c r="D27" s="29" t="s">
        <v>44</v>
      </c>
      <c r="E27" s="42" t="s">
        <v>55</v>
      </c>
      <c r="F27" s="49"/>
      <c r="G27" s="50"/>
    </row>
    <row r="30" spans="1:9" ht="15" thickBot="1" x14ac:dyDescent="0.35"/>
    <row r="31" spans="1:9" ht="15" thickBot="1" x14ac:dyDescent="0.35">
      <c r="A31" s="99" t="s">
        <v>60</v>
      </c>
      <c r="B31" s="100"/>
      <c r="C31" s="100"/>
      <c r="D31" s="100"/>
      <c r="E31" s="100"/>
      <c r="F31" s="100"/>
      <c r="G31" s="100"/>
      <c r="H31" s="101"/>
    </row>
    <row r="32" spans="1:9" ht="15" thickBot="1" x14ac:dyDescent="0.35">
      <c r="A32" s="39" t="s">
        <v>20</v>
      </c>
      <c r="B32" s="39" t="s">
        <v>19</v>
      </c>
      <c r="C32" s="39" t="s">
        <v>61</v>
      </c>
      <c r="D32" s="39" t="s">
        <v>62</v>
      </c>
      <c r="E32" s="40"/>
      <c r="F32" s="111"/>
      <c r="G32" s="112"/>
      <c r="H32" s="113"/>
    </row>
    <row r="33" spans="1:10" ht="16.2" customHeight="1" thickBot="1" x14ac:dyDescent="0.35">
      <c r="A33" s="29" t="s">
        <v>63</v>
      </c>
      <c r="B33" s="29" t="s">
        <v>22</v>
      </c>
      <c r="C33" s="29">
        <v>3</v>
      </c>
      <c r="D33" s="42" t="s">
        <v>64</v>
      </c>
      <c r="E33" s="51">
        <f>COUNTIF(D33:D51,"Pending")</f>
        <v>7</v>
      </c>
      <c r="F33" s="102" t="s">
        <v>69</v>
      </c>
      <c r="G33" s="103"/>
      <c r="H33" s="104"/>
      <c r="I33" s="114" t="s">
        <v>72</v>
      </c>
      <c r="J33" s="110"/>
    </row>
    <row r="34" spans="1:10" ht="15" customHeight="1" thickBot="1" x14ac:dyDescent="0.35">
      <c r="A34" s="29" t="s">
        <v>65</v>
      </c>
      <c r="B34" s="29" t="s">
        <v>24</v>
      </c>
      <c r="C34" s="29">
        <v>5</v>
      </c>
      <c r="D34" s="42" t="s">
        <v>66</v>
      </c>
      <c r="E34" s="52">
        <f>COUNTIFS(B33:B51,"West",D33:D51,"Delivered")</f>
        <v>3</v>
      </c>
      <c r="F34" s="105" t="s">
        <v>73</v>
      </c>
      <c r="G34" s="106"/>
      <c r="H34" s="107"/>
      <c r="I34" s="117" t="s">
        <v>74</v>
      </c>
      <c r="J34" s="117"/>
    </row>
    <row r="35" spans="1:10" ht="15" thickBot="1" x14ac:dyDescent="0.35">
      <c r="A35" s="29" t="s">
        <v>67</v>
      </c>
      <c r="B35" s="29" t="s">
        <v>26</v>
      </c>
      <c r="C35" s="29">
        <v>2</v>
      </c>
      <c r="D35" s="29" t="s">
        <v>64</v>
      </c>
      <c r="E35" s="25"/>
      <c r="F35" s="95"/>
      <c r="G35" s="95"/>
      <c r="H35" s="95"/>
      <c r="I35" s="118"/>
      <c r="J35" s="117"/>
    </row>
    <row r="36" spans="1:10" ht="15" thickBot="1" x14ac:dyDescent="0.35">
      <c r="A36" s="29" t="s">
        <v>68</v>
      </c>
      <c r="B36" s="29" t="s">
        <v>29</v>
      </c>
      <c r="C36" s="29">
        <v>4</v>
      </c>
      <c r="D36" s="29" t="s">
        <v>64</v>
      </c>
      <c r="E36" s="25"/>
      <c r="F36" s="95"/>
      <c r="G36" s="95"/>
      <c r="H36" s="95"/>
      <c r="I36" s="115"/>
      <c r="J36" s="116"/>
    </row>
    <row r="37" spans="1:10" ht="15" thickBot="1" x14ac:dyDescent="0.35">
      <c r="A37" s="29" t="s">
        <v>63</v>
      </c>
      <c r="B37" s="29" t="s">
        <v>22</v>
      </c>
      <c r="C37" s="29">
        <v>6</v>
      </c>
      <c r="D37" s="29" t="s">
        <v>66</v>
      </c>
      <c r="E37" s="25"/>
      <c r="F37" s="95"/>
      <c r="G37" s="95"/>
      <c r="H37" s="95"/>
      <c r="I37" s="115"/>
      <c r="J37" s="116"/>
    </row>
    <row r="38" spans="1:10" ht="15" thickBot="1" x14ac:dyDescent="0.35">
      <c r="A38" s="29" t="s">
        <v>65</v>
      </c>
      <c r="B38" s="29" t="s">
        <v>24</v>
      </c>
      <c r="C38" s="29">
        <v>3</v>
      </c>
      <c r="D38" s="29" t="s">
        <v>64</v>
      </c>
      <c r="E38" s="25"/>
      <c r="F38" s="95"/>
      <c r="G38" s="95"/>
      <c r="H38" s="95"/>
      <c r="I38" s="115"/>
      <c r="J38" s="116"/>
    </row>
    <row r="39" spans="1:10" ht="15" thickBot="1" x14ac:dyDescent="0.35">
      <c r="A39" s="29" t="s">
        <v>67</v>
      </c>
      <c r="B39" s="29" t="s">
        <v>26</v>
      </c>
      <c r="C39" s="29">
        <v>1</v>
      </c>
      <c r="D39" s="29" t="s">
        <v>64</v>
      </c>
      <c r="E39" s="25"/>
      <c r="F39" s="95"/>
      <c r="G39" s="95"/>
      <c r="H39" s="95"/>
      <c r="I39" s="115"/>
      <c r="J39" s="116"/>
    </row>
    <row r="40" spans="1:10" ht="15" thickBot="1" x14ac:dyDescent="0.35">
      <c r="A40" s="29" t="s">
        <v>68</v>
      </c>
      <c r="B40" s="29" t="s">
        <v>29</v>
      </c>
      <c r="C40" s="29">
        <v>5</v>
      </c>
      <c r="D40" s="29" t="s">
        <v>66</v>
      </c>
      <c r="E40" s="25"/>
      <c r="F40" s="95"/>
      <c r="G40" s="95"/>
      <c r="H40" s="95"/>
      <c r="I40" s="115"/>
      <c r="J40" s="116"/>
    </row>
    <row r="41" spans="1:10" ht="15" thickBot="1" x14ac:dyDescent="0.35">
      <c r="A41" s="29" t="s">
        <v>63</v>
      </c>
      <c r="B41" s="29" t="s">
        <v>22</v>
      </c>
      <c r="C41" s="29">
        <v>2</v>
      </c>
      <c r="D41" s="29" t="s">
        <v>64</v>
      </c>
      <c r="E41" s="25"/>
      <c r="F41" s="95"/>
      <c r="G41" s="95"/>
      <c r="H41" s="95"/>
      <c r="I41" s="115"/>
      <c r="J41" s="116"/>
    </row>
    <row r="42" spans="1:10" ht="15" thickBot="1" x14ac:dyDescent="0.35">
      <c r="A42" s="29" t="s">
        <v>65</v>
      </c>
      <c r="B42" s="29" t="s">
        <v>24</v>
      </c>
      <c r="C42" s="29">
        <v>4</v>
      </c>
      <c r="D42" s="29" t="s">
        <v>66</v>
      </c>
      <c r="E42" s="25"/>
      <c r="F42" s="95"/>
      <c r="G42" s="95"/>
      <c r="H42" s="95"/>
      <c r="I42" s="115"/>
      <c r="J42" s="116"/>
    </row>
    <row r="43" spans="1:10" ht="15" thickBot="1" x14ac:dyDescent="0.35">
      <c r="A43" s="29" t="s">
        <v>67</v>
      </c>
      <c r="B43" s="29" t="s">
        <v>26</v>
      </c>
      <c r="C43" s="29">
        <v>3</v>
      </c>
      <c r="D43" s="29" t="s">
        <v>64</v>
      </c>
      <c r="E43" s="25"/>
      <c r="F43" s="95"/>
      <c r="G43" s="95"/>
      <c r="H43" s="95"/>
      <c r="I43" s="115"/>
      <c r="J43" s="116"/>
    </row>
    <row r="44" spans="1:10" ht="15" thickBot="1" x14ac:dyDescent="0.35">
      <c r="A44" s="29" t="s">
        <v>68</v>
      </c>
      <c r="B44" s="29" t="s">
        <v>29</v>
      </c>
      <c r="C44" s="29">
        <v>2</v>
      </c>
      <c r="D44" s="29" t="s">
        <v>64</v>
      </c>
      <c r="E44" s="25"/>
      <c r="F44" s="95"/>
      <c r="G44" s="95"/>
      <c r="H44" s="95"/>
      <c r="I44" s="115"/>
      <c r="J44" s="116"/>
    </row>
    <row r="45" spans="1:10" ht="15" thickBot="1" x14ac:dyDescent="0.35">
      <c r="A45" s="29" t="s">
        <v>63</v>
      </c>
      <c r="B45" s="29" t="s">
        <v>22</v>
      </c>
      <c r="C45" s="29">
        <v>1</v>
      </c>
      <c r="D45" s="29" t="s">
        <v>66</v>
      </c>
      <c r="E45" s="25"/>
      <c r="F45" s="95"/>
      <c r="G45" s="95"/>
      <c r="H45" s="95"/>
    </row>
    <row r="46" spans="1:10" ht="15" thickBot="1" x14ac:dyDescent="0.35">
      <c r="A46" s="29" t="s">
        <v>65</v>
      </c>
      <c r="B46" s="29" t="s">
        <v>24</v>
      </c>
      <c r="C46" s="29">
        <v>6</v>
      </c>
      <c r="D46" s="29" t="s">
        <v>64</v>
      </c>
      <c r="E46" s="25"/>
      <c r="F46" s="95"/>
      <c r="G46" s="95"/>
      <c r="H46" s="95"/>
    </row>
    <row r="47" spans="1:10" ht="15" thickBot="1" x14ac:dyDescent="0.35">
      <c r="A47" s="29" t="s">
        <v>67</v>
      </c>
      <c r="B47" s="29" t="s">
        <v>26</v>
      </c>
      <c r="C47" s="29">
        <v>4</v>
      </c>
      <c r="D47" s="29" t="s">
        <v>66</v>
      </c>
      <c r="E47" s="25"/>
      <c r="F47" s="95"/>
      <c r="G47" s="95"/>
      <c r="H47" s="95"/>
    </row>
    <row r="48" spans="1:10" ht="15" thickBot="1" x14ac:dyDescent="0.35">
      <c r="A48" s="29" t="s">
        <v>68</v>
      </c>
      <c r="B48" s="29" t="s">
        <v>29</v>
      </c>
      <c r="C48" s="29">
        <v>3</v>
      </c>
      <c r="D48" s="29" t="s">
        <v>64</v>
      </c>
      <c r="E48" s="25"/>
      <c r="F48" s="95"/>
      <c r="G48" s="95"/>
      <c r="H48" s="95"/>
    </row>
    <row r="49" spans="1:8" ht="15" thickBot="1" x14ac:dyDescent="0.35">
      <c r="A49" s="29" t="s">
        <v>63</v>
      </c>
      <c r="B49" s="29" t="s">
        <v>22</v>
      </c>
      <c r="C49" s="29">
        <v>5</v>
      </c>
      <c r="D49" s="29" t="s">
        <v>64</v>
      </c>
      <c r="E49" s="25"/>
      <c r="F49" s="95"/>
      <c r="G49" s="95"/>
      <c r="H49" s="95"/>
    </row>
    <row r="50" spans="1:8" ht="15" thickBot="1" x14ac:dyDescent="0.35">
      <c r="A50" s="29" t="s">
        <v>65</v>
      </c>
      <c r="B50" s="29" t="s">
        <v>24</v>
      </c>
      <c r="C50" s="29">
        <v>2</v>
      </c>
      <c r="D50" s="29" t="s">
        <v>66</v>
      </c>
      <c r="E50" s="25"/>
      <c r="F50" s="95"/>
      <c r="G50" s="95"/>
      <c r="H50" s="95"/>
    </row>
    <row r="51" spans="1:8" ht="15" thickBot="1" x14ac:dyDescent="0.35">
      <c r="A51" s="29" t="s">
        <v>67</v>
      </c>
      <c r="B51" s="29" t="s">
        <v>26</v>
      </c>
      <c r="C51" s="29">
        <v>2</v>
      </c>
      <c r="D51" s="29" t="s">
        <v>64</v>
      </c>
      <c r="E51" s="25"/>
      <c r="F51" s="95"/>
      <c r="G51" s="95"/>
      <c r="H51" s="95"/>
    </row>
  </sheetData>
  <mergeCells count="36">
    <mergeCell ref="I42:J42"/>
    <mergeCell ref="I43:J43"/>
    <mergeCell ref="I44:J44"/>
    <mergeCell ref="I34:J35"/>
    <mergeCell ref="I36:J36"/>
    <mergeCell ref="I37:J37"/>
    <mergeCell ref="I38:J38"/>
    <mergeCell ref="I39:J39"/>
    <mergeCell ref="I40:J40"/>
    <mergeCell ref="I41:J41"/>
    <mergeCell ref="F48:H48"/>
    <mergeCell ref="F49:H49"/>
    <mergeCell ref="F50:H50"/>
    <mergeCell ref="F51:H51"/>
    <mergeCell ref="H18:I18"/>
    <mergeCell ref="H19:I19"/>
    <mergeCell ref="F32:H32"/>
    <mergeCell ref="I33:J33"/>
    <mergeCell ref="F42:H42"/>
    <mergeCell ref="F43:H43"/>
    <mergeCell ref="F44:H44"/>
    <mergeCell ref="F45:H45"/>
    <mergeCell ref="F46:H46"/>
    <mergeCell ref="F47:H47"/>
    <mergeCell ref="F36:H36"/>
    <mergeCell ref="F37:H37"/>
    <mergeCell ref="F38:H38"/>
    <mergeCell ref="F39:H39"/>
    <mergeCell ref="F40:H40"/>
    <mergeCell ref="F41:H41"/>
    <mergeCell ref="A1:G1"/>
    <mergeCell ref="A31:H31"/>
    <mergeCell ref="F33:H33"/>
    <mergeCell ref="F34:H34"/>
    <mergeCell ref="F35:H35"/>
    <mergeCell ref="A16:G1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F217-8C78-44CE-86A6-18C085457C6F}">
  <dimension ref="A1:T13"/>
  <sheetViews>
    <sheetView workbookViewId="0">
      <selection activeCell="E27" sqref="E27"/>
    </sheetView>
  </sheetViews>
  <sheetFormatPr defaultRowHeight="13.8" x14ac:dyDescent="0.3"/>
  <cols>
    <col min="1" max="1" width="10.5546875" style="65" bestFit="1" customWidth="1"/>
    <col min="2" max="3" width="10" style="65" bestFit="1" customWidth="1"/>
    <col min="4" max="4" width="10.77734375" style="65" bestFit="1" customWidth="1"/>
    <col min="5" max="6" width="11" style="65" bestFit="1" customWidth="1"/>
    <col min="7" max="7" width="14.88671875" style="65" bestFit="1" customWidth="1"/>
    <col min="8" max="8" width="10" style="65" bestFit="1" customWidth="1"/>
    <col min="9" max="16384" width="8.88671875" style="65"/>
  </cols>
  <sheetData>
    <row r="1" spans="1:20" ht="14.4" thickBot="1" x14ac:dyDescent="0.35">
      <c r="A1" s="119" t="s">
        <v>75</v>
      </c>
      <c r="B1" s="120"/>
      <c r="C1" s="120"/>
      <c r="D1" s="120"/>
      <c r="E1" s="120"/>
      <c r="F1" s="121"/>
    </row>
    <row r="2" spans="1:20" ht="14.4" thickBot="1" x14ac:dyDescent="0.35">
      <c r="A2" s="58" t="s">
        <v>20</v>
      </c>
      <c r="B2" s="58" t="s">
        <v>76</v>
      </c>
      <c r="C2" s="58" t="s">
        <v>77</v>
      </c>
      <c r="D2" s="58" t="s">
        <v>78</v>
      </c>
      <c r="E2" s="59"/>
      <c r="F2" s="60" t="s">
        <v>6</v>
      </c>
    </row>
    <row r="3" spans="1:20" ht="14.4" thickBot="1" x14ac:dyDescent="0.35">
      <c r="A3" s="61" t="s">
        <v>63</v>
      </c>
      <c r="B3" s="61">
        <v>1000</v>
      </c>
      <c r="C3" s="61" t="s">
        <v>23</v>
      </c>
      <c r="D3" s="61">
        <v>20</v>
      </c>
      <c r="E3" s="59"/>
      <c r="F3" s="62"/>
    </row>
    <row r="4" spans="1:20" ht="14.4" thickBot="1" x14ac:dyDescent="0.35">
      <c r="A4" s="61" t="s">
        <v>79</v>
      </c>
      <c r="B4" s="61">
        <v>600</v>
      </c>
      <c r="C4" s="61" t="s">
        <v>23</v>
      </c>
      <c r="D4" s="61">
        <v>15</v>
      </c>
      <c r="E4" s="59"/>
      <c r="F4" s="62">
        <f>VLOOKUP("Tablet",A2:D7,4,0)</f>
        <v>15</v>
      </c>
      <c r="G4" s="65" t="s">
        <v>84</v>
      </c>
      <c r="H4" s="122" t="s">
        <v>89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20" ht="14.4" thickBot="1" x14ac:dyDescent="0.35">
      <c r="A5" s="61" t="s">
        <v>80</v>
      </c>
      <c r="B5" s="61">
        <v>800</v>
      </c>
      <c r="C5" s="61" t="s">
        <v>23</v>
      </c>
      <c r="D5" s="61">
        <v>30</v>
      </c>
      <c r="E5" s="59"/>
      <c r="F5" s="62">
        <f>VLOOKUP("Smartphone",A2:D7,2,0)</f>
        <v>800</v>
      </c>
      <c r="G5" s="65" t="s">
        <v>83</v>
      </c>
    </row>
    <row r="6" spans="1:20" ht="14.4" thickBot="1" x14ac:dyDescent="0.35">
      <c r="A6" s="61" t="s">
        <v>81</v>
      </c>
      <c r="B6" s="61">
        <v>300</v>
      </c>
      <c r="C6" s="61" t="s">
        <v>82</v>
      </c>
      <c r="D6" s="61">
        <v>25</v>
      </c>
      <c r="E6" s="59"/>
      <c r="F6" s="62"/>
    </row>
    <row r="7" spans="1:20" ht="14.4" thickBot="1" x14ac:dyDescent="0.35">
      <c r="A7" s="61" t="s">
        <v>67</v>
      </c>
      <c r="B7" s="61">
        <v>50</v>
      </c>
      <c r="C7" s="61" t="s">
        <v>82</v>
      </c>
      <c r="D7" s="61">
        <v>50</v>
      </c>
      <c r="E7" s="63"/>
      <c r="F7" s="64"/>
    </row>
    <row r="9" spans="1:20" ht="14.4" thickBot="1" x14ac:dyDescent="0.35"/>
    <row r="10" spans="1:20" ht="14.4" thickBot="1" x14ac:dyDescent="0.35">
      <c r="A10" s="54" t="s">
        <v>20</v>
      </c>
      <c r="B10" s="54" t="s">
        <v>63</v>
      </c>
      <c r="C10" s="54" t="s">
        <v>79</v>
      </c>
      <c r="D10" s="54" t="s">
        <v>80</v>
      </c>
      <c r="E10" s="54" t="s">
        <v>81</v>
      </c>
      <c r="F10" s="54" t="s">
        <v>67</v>
      </c>
      <c r="G10" s="66"/>
      <c r="H10" s="53" t="s">
        <v>8</v>
      </c>
      <c r="I10" s="122" t="s">
        <v>88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</row>
    <row r="11" spans="1:20" ht="14.4" thickBot="1" x14ac:dyDescent="0.35">
      <c r="A11" s="54" t="s">
        <v>76</v>
      </c>
      <c r="B11" s="54">
        <v>1000</v>
      </c>
      <c r="C11" s="54">
        <v>600</v>
      </c>
      <c r="D11" s="54">
        <v>800</v>
      </c>
      <c r="E11" s="54">
        <v>300</v>
      </c>
      <c r="F11" s="54">
        <v>50</v>
      </c>
      <c r="G11" s="67"/>
      <c r="H11" s="55">
        <f>HLOOKUP("Laptop",A10:F13,2,0)</f>
        <v>1000</v>
      </c>
      <c r="I11" s="123" t="s">
        <v>85</v>
      </c>
      <c r="J11" s="122"/>
      <c r="K11" s="122"/>
      <c r="L11" s="122"/>
      <c r="M11" s="122"/>
      <c r="N11" s="122"/>
      <c r="O11" s="122"/>
      <c r="P11" s="122"/>
      <c r="Q11" s="122"/>
      <c r="R11" s="122"/>
      <c r="S11" s="122"/>
    </row>
    <row r="12" spans="1:20" ht="14.4" thickBot="1" x14ac:dyDescent="0.35">
      <c r="A12" s="54" t="s">
        <v>77</v>
      </c>
      <c r="B12" s="54" t="s">
        <v>23</v>
      </c>
      <c r="C12" s="54" t="s">
        <v>23</v>
      </c>
      <c r="D12" s="54" t="s">
        <v>23</v>
      </c>
      <c r="E12" s="54" t="s">
        <v>82</v>
      </c>
      <c r="F12" s="54" t="s">
        <v>82</v>
      </c>
      <c r="G12" s="67"/>
      <c r="H12" s="55" t="str">
        <f>HLOOKUP("Tablet",A10:F13,3,0)</f>
        <v>Electronics</v>
      </c>
      <c r="I12" s="123" t="s">
        <v>86</v>
      </c>
      <c r="J12" s="122"/>
      <c r="K12" s="122"/>
      <c r="L12" s="122"/>
      <c r="M12" s="122"/>
      <c r="N12" s="122"/>
      <c r="O12" s="122"/>
      <c r="P12" s="122"/>
      <c r="Q12" s="122"/>
      <c r="R12" s="122"/>
      <c r="S12" s="122"/>
    </row>
    <row r="13" spans="1:20" ht="14.4" thickBot="1" x14ac:dyDescent="0.35">
      <c r="A13" s="54" t="s">
        <v>78</v>
      </c>
      <c r="B13" s="54">
        <v>20</v>
      </c>
      <c r="C13" s="54">
        <v>15</v>
      </c>
      <c r="D13" s="54">
        <v>30</v>
      </c>
      <c r="E13" s="54">
        <v>25</v>
      </c>
      <c r="F13" s="54">
        <v>50</v>
      </c>
      <c r="G13" s="56"/>
      <c r="H13" s="57">
        <f>HLOOKUP("Keyboard",A10:F13,4,0)</f>
        <v>50</v>
      </c>
      <c r="I13" s="123" t="s">
        <v>87</v>
      </c>
      <c r="J13" s="122"/>
      <c r="K13" s="122"/>
      <c r="L13" s="122"/>
      <c r="M13" s="122"/>
      <c r="N13" s="122"/>
      <c r="O13" s="122"/>
      <c r="P13" s="122"/>
      <c r="Q13" s="122"/>
      <c r="R13" s="122"/>
      <c r="S13" s="122"/>
    </row>
  </sheetData>
  <mergeCells count="6">
    <mergeCell ref="A1:F1"/>
    <mergeCell ref="H4:S4"/>
    <mergeCell ref="I11:S11"/>
    <mergeCell ref="I12:S12"/>
    <mergeCell ref="I13:S13"/>
    <mergeCell ref="I10:T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A80A-435E-4D17-894A-492F409949A3}">
  <dimension ref="A1:N20"/>
  <sheetViews>
    <sheetView workbookViewId="0">
      <selection activeCell="H24" sqref="H24"/>
    </sheetView>
  </sheetViews>
  <sheetFormatPr defaultColWidth="13.21875" defaultRowHeight="13.8" x14ac:dyDescent="0.3"/>
  <cols>
    <col min="1" max="6" width="13.21875" style="65"/>
    <col min="7" max="7" width="16" style="65" customWidth="1"/>
    <col min="8" max="16384" width="13.21875" style="65"/>
  </cols>
  <sheetData>
    <row r="1" spans="1:14" ht="15" customHeight="1" thickBot="1" x14ac:dyDescent="0.35">
      <c r="A1" s="124" t="s">
        <v>90</v>
      </c>
      <c r="B1" s="125"/>
      <c r="C1" s="125"/>
      <c r="D1" s="125"/>
      <c r="E1" s="125"/>
      <c r="F1" s="125"/>
      <c r="G1" s="126"/>
    </row>
    <row r="2" spans="1:14" ht="14.4" thickBot="1" x14ac:dyDescent="0.35">
      <c r="A2" s="77" t="s">
        <v>91</v>
      </c>
      <c r="B2" s="77" t="s">
        <v>92</v>
      </c>
      <c r="C2" s="77" t="s">
        <v>93</v>
      </c>
      <c r="D2" s="78" t="s">
        <v>76</v>
      </c>
      <c r="E2" s="80"/>
      <c r="F2" s="85" t="s">
        <v>122</v>
      </c>
      <c r="G2" s="81"/>
    </row>
    <row r="3" spans="1:14" ht="14.4" customHeight="1" thickBot="1" x14ac:dyDescent="0.35">
      <c r="A3" s="69" t="s">
        <v>94</v>
      </c>
      <c r="B3" s="69" t="s">
        <v>63</v>
      </c>
      <c r="C3" s="69">
        <v>150</v>
      </c>
      <c r="D3" s="79">
        <v>75000</v>
      </c>
      <c r="E3" s="84">
        <f>_xlfn.XLOOKUP("P102",A3:A12,D3:D12)</f>
        <v>1500</v>
      </c>
      <c r="F3" s="130" t="s">
        <v>109</v>
      </c>
      <c r="G3" s="131"/>
      <c r="H3" s="65" t="s">
        <v>118</v>
      </c>
    </row>
    <row r="4" spans="1:14" ht="14.4" customHeight="1" thickBot="1" x14ac:dyDescent="0.35">
      <c r="A4" s="69" t="s">
        <v>95</v>
      </c>
      <c r="B4" s="69" t="s">
        <v>65</v>
      </c>
      <c r="C4" s="69">
        <v>300</v>
      </c>
      <c r="D4" s="79">
        <v>500</v>
      </c>
      <c r="E4" s="84" t="str">
        <f>_xlfn.XLOOKUP("P999",A3:A12,C3:C12,"Not Found")</f>
        <v>Not Found</v>
      </c>
      <c r="F4" s="130" t="s">
        <v>110</v>
      </c>
      <c r="G4" s="131"/>
      <c r="H4" s="65" t="s">
        <v>117</v>
      </c>
    </row>
    <row r="5" spans="1:14" ht="14.4" thickBot="1" x14ac:dyDescent="0.35">
      <c r="A5" s="69" t="s">
        <v>96</v>
      </c>
      <c r="B5" s="69" t="s">
        <v>67</v>
      </c>
      <c r="C5" s="86">
        <v>200</v>
      </c>
      <c r="D5" s="79">
        <v>1500</v>
      </c>
      <c r="E5" s="84" t="str">
        <f>INDEX(A3:D12,3,2)</f>
        <v>Keyboard</v>
      </c>
      <c r="F5" s="130" t="s">
        <v>112</v>
      </c>
      <c r="G5" s="131"/>
      <c r="H5" s="65" t="s">
        <v>111</v>
      </c>
    </row>
    <row r="6" spans="1:14" ht="14.4" thickBot="1" x14ac:dyDescent="0.35">
      <c r="A6" s="69" t="s">
        <v>97</v>
      </c>
      <c r="B6" s="69" t="s">
        <v>81</v>
      </c>
      <c r="C6" s="69">
        <v>120</v>
      </c>
      <c r="D6" s="79">
        <v>10000</v>
      </c>
      <c r="E6" s="84">
        <f>MATCH("Laptop",B3:B12,0)</f>
        <v>1</v>
      </c>
      <c r="F6" s="130" t="s">
        <v>114</v>
      </c>
      <c r="G6" s="131"/>
      <c r="H6" s="65" t="s">
        <v>116</v>
      </c>
    </row>
    <row r="7" spans="1:14" ht="14.4" customHeight="1" thickBot="1" x14ac:dyDescent="0.35">
      <c r="A7" s="69" t="s">
        <v>98</v>
      </c>
      <c r="B7" s="69" t="s">
        <v>99</v>
      </c>
      <c r="C7" s="69">
        <v>180</v>
      </c>
      <c r="D7" s="79">
        <v>2500</v>
      </c>
      <c r="E7" s="84">
        <f>INDEX(D3:D12,MATCH("Monitor",B3:B12,0))</f>
        <v>10000</v>
      </c>
      <c r="F7" s="130" t="s">
        <v>115</v>
      </c>
      <c r="G7" s="131"/>
      <c r="H7" s="65" t="s">
        <v>119</v>
      </c>
    </row>
    <row r="8" spans="1:14" ht="14.4" thickBot="1" x14ac:dyDescent="0.35">
      <c r="A8" s="69" t="s">
        <v>100</v>
      </c>
      <c r="B8" s="69" t="s">
        <v>101</v>
      </c>
      <c r="C8" s="69">
        <v>90</v>
      </c>
      <c r="D8" s="79">
        <v>4000</v>
      </c>
      <c r="E8" s="84"/>
      <c r="F8" s="130"/>
      <c r="G8" s="131"/>
      <c r="I8" s="122" t="s">
        <v>113</v>
      </c>
      <c r="J8" s="122"/>
      <c r="K8" s="122"/>
      <c r="L8" s="122"/>
      <c r="M8" s="122"/>
      <c r="N8" s="122"/>
    </row>
    <row r="9" spans="1:14" ht="14.4" customHeight="1" thickBot="1" x14ac:dyDescent="0.35">
      <c r="A9" s="69" t="s">
        <v>102</v>
      </c>
      <c r="B9" s="69" t="s">
        <v>103</v>
      </c>
      <c r="C9" s="69">
        <v>210</v>
      </c>
      <c r="D9" s="79">
        <v>1200</v>
      </c>
      <c r="E9" s="84" t="str">
        <f ca="1">OFFSET(A2,5,1)</f>
        <v>Speaker</v>
      </c>
      <c r="F9" s="130" t="s">
        <v>120</v>
      </c>
      <c r="G9" s="131"/>
      <c r="H9" s="65" t="s">
        <v>121</v>
      </c>
    </row>
    <row r="10" spans="1:14" ht="14.4" thickBot="1" x14ac:dyDescent="0.35">
      <c r="A10" s="69" t="s">
        <v>104</v>
      </c>
      <c r="B10" s="69" t="s">
        <v>79</v>
      </c>
      <c r="C10" s="69">
        <v>80</v>
      </c>
      <c r="D10" s="79">
        <v>30000</v>
      </c>
      <c r="E10" s="84"/>
      <c r="F10" s="130"/>
      <c r="G10" s="131"/>
    </row>
    <row r="11" spans="1:14" ht="14.4" thickBot="1" x14ac:dyDescent="0.35">
      <c r="A11" s="69" t="s">
        <v>105</v>
      </c>
      <c r="B11" s="69" t="s">
        <v>106</v>
      </c>
      <c r="C11" s="69">
        <v>160</v>
      </c>
      <c r="D11" s="79">
        <v>3500</v>
      </c>
      <c r="E11" s="87" cm="1">
        <f t="array" aca="1" ref="E11" ca="1">INDIRECT(F2)</f>
        <v>200</v>
      </c>
      <c r="F11" s="130" t="s">
        <v>123</v>
      </c>
      <c r="G11" s="131"/>
      <c r="H11" s="65" t="s">
        <v>124</v>
      </c>
    </row>
    <row r="12" spans="1:14" ht="14.4" thickBot="1" x14ac:dyDescent="0.35">
      <c r="A12" s="69" t="s">
        <v>107</v>
      </c>
      <c r="B12" s="69" t="s">
        <v>108</v>
      </c>
      <c r="C12" s="69">
        <v>400</v>
      </c>
      <c r="D12" s="79">
        <v>800</v>
      </c>
      <c r="E12" s="83"/>
      <c r="F12" s="83"/>
      <c r="G12" s="82"/>
    </row>
    <row r="13" spans="1:14" ht="14.4" thickBot="1" x14ac:dyDescent="0.35">
      <c r="A13" s="72"/>
      <c r="B13" s="59"/>
      <c r="C13" s="59"/>
      <c r="D13" s="59"/>
      <c r="E13" s="59"/>
      <c r="F13" s="59"/>
      <c r="G13" s="59"/>
    </row>
    <row r="14" spans="1:14" ht="14.4" thickBot="1" x14ac:dyDescent="0.35">
      <c r="A14" s="127" t="s">
        <v>18</v>
      </c>
      <c r="B14" s="128"/>
      <c r="C14" s="128"/>
      <c r="D14" s="128"/>
      <c r="E14" s="128"/>
      <c r="F14" s="128"/>
      <c r="G14" s="129"/>
    </row>
    <row r="15" spans="1:14" ht="14.4" thickBot="1" x14ac:dyDescent="0.35">
      <c r="A15" s="58" t="s">
        <v>20</v>
      </c>
      <c r="B15" s="58" t="s">
        <v>76</v>
      </c>
      <c r="C15" s="58" t="s">
        <v>77</v>
      </c>
      <c r="D15" s="58" t="s">
        <v>78</v>
      </c>
      <c r="E15" s="73"/>
      <c r="F15" s="74" t="s">
        <v>21</v>
      </c>
      <c r="G15" s="75" t="s">
        <v>43</v>
      </c>
    </row>
    <row r="16" spans="1:14" ht="14.4" thickBot="1" x14ac:dyDescent="0.35">
      <c r="A16" s="61" t="s">
        <v>63</v>
      </c>
      <c r="B16" s="61">
        <v>1200</v>
      </c>
      <c r="C16" s="61" t="s">
        <v>23</v>
      </c>
      <c r="D16" s="61">
        <v>25</v>
      </c>
      <c r="E16" s="59"/>
      <c r="F16" s="76" t="s">
        <v>6</v>
      </c>
      <c r="G16" s="62"/>
    </row>
    <row r="17" spans="1:7" ht="14.4" thickBot="1" x14ac:dyDescent="0.35">
      <c r="A17" s="61" t="s">
        <v>79</v>
      </c>
      <c r="B17" s="61">
        <v>700</v>
      </c>
      <c r="C17" s="61" t="s">
        <v>23</v>
      </c>
      <c r="D17" s="61">
        <v>30</v>
      </c>
      <c r="E17" s="59"/>
      <c r="F17" s="76" t="s">
        <v>8</v>
      </c>
      <c r="G17" s="62"/>
    </row>
    <row r="18" spans="1:7" ht="14.4" thickBot="1" x14ac:dyDescent="0.35">
      <c r="A18" s="61" t="s">
        <v>80</v>
      </c>
      <c r="B18" s="61">
        <v>900</v>
      </c>
      <c r="C18" s="61" t="s">
        <v>23</v>
      </c>
      <c r="D18" s="61">
        <v>45</v>
      </c>
      <c r="E18" s="59"/>
      <c r="F18" s="76" t="s">
        <v>10</v>
      </c>
      <c r="G18" s="62"/>
    </row>
    <row r="19" spans="1:7" ht="14.4" thickBot="1" x14ac:dyDescent="0.35">
      <c r="A19" s="61" t="s">
        <v>81</v>
      </c>
      <c r="B19" s="61">
        <v>300</v>
      </c>
      <c r="C19" s="61" t="s">
        <v>82</v>
      </c>
      <c r="D19" s="61">
        <v>20</v>
      </c>
      <c r="E19" s="59"/>
      <c r="F19" s="59"/>
      <c r="G19" s="68"/>
    </row>
    <row r="20" spans="1:7" ht="14.4" thickBot="1" x14ac:dyDescent="0.35">
      <c r="A20" s="61" t="s">
        <v>67</v>
      </c>
      <c r="B20" s="61">
        <v>80</v>
      </c>
      <c r="C20" s="61" t="s">
        <v>82</v>
      </c>
      <c r="D20" s="61">
        <v>50</v>
      </c>
      <c r="E20" s="63"/>
      <c r="F20" s="70"/>
      <c r="G20" s="71"/>
    </row>
  </sheetData>
  <mergeCells count="11">
    <mergeCell ref="A1:G1"/>
    <mergeCell ref="A14:G14"/>
    <mergeCell ref="F3:G3"/>
    <mergeCell ref="I8:N8"/>
    <mergeCell ref="F11:G11"/>
    <mergeCell ref="F9:G10"/>
    <mergeCell ref="F4:G4"/>
    <mergeCell ref="F5:G5"/>
    <mergeCell ref="F6:G6"/>
    <mergeCell ref="F7:G7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ACBA-3598-49C3-B1EA-05E1FB6B8EBD}">
  <dimension ref="A1:L25"/>
  <sheetViews>
    <sheetView tabSelected="1" workbookViewId="0">
      <selection activeCell="L20" sqref="L20"/>
    </sheetView>
  </sheetViews>
  <sheetFormatPr defaultRowHeight="13.8" x14ac:dyDescent="0.3"/>
  <cols>
    <col min="1" max="1" width="10.6640625" style="65" customWidth="1"/>
    <col min="2" max="2" width="10.6640625" style="65" bestFit="1" customWidth="1"/>
    <col min="3" max="3" width="14.88671875" style="65" bestFit="1" customWidth="1"/>
    <col min="4" max="4" width="7.33203125" style="65" bestFit="1" customWidth="1"/>
    <col min="5" max="5" width="14.88671875" style="65" bestFit="1" customWidth="1"/>
    <col min="6" max="6" width="6.44140625" style="65" bestFit="1" customWidth="1"/>
    <col min="7" max="8" width="8.88671875" style="65"/>
    <col min="9" max="9" width="9" style="65" bestFit="1" customWidth="1"/>
    <col min="10" max="10" width="58.77734375" style="65" bestFit="1" customWidth="1"/>
    <col min="11" max="11" width="17.44140625" style="65" customWidth="1"/>
    <col min="12" max="16384" width="8.88671875" style="65"/>
  </cols>
  <sheetData>
    <row r="1" spans="1:12" x14ac:dyDescent="0.3">
      <c r="A1" s="90" t="s">
        <v>125</v>
      </c>
      <c r="B1" s="88" t="s">
        <v>42</v>
      </c>
      <c r="C1" s="88" t="s">
        <v>126</v>
      </c>
      <c r="D1" s="88" t="s">
        <v>127</v>
      </c>
      <c r="E1" s="88" t="s">
        <v>128</v>
      </c>
      <c r="F1" s="88" t="s">
        <v>19</v>
      </c>
      <c r="G1" s="91"/>
      <c r="I1" s="88" t="s">
        <v>129</v>
      </c>
      <c r="J1" s="88" t="s">
        <v>130</v>
      </c>
    </row>
    <row r="2" spans="1:12" x14ac:dyDescent="0.3">
      <c r="A2" s="92">
        <v>45662</v>
      </c>
      <c r="B2" s="65" t="s">
        <v>2</v>
      </c>
      <c r="C2" s="65" t="s">
        <v>131</v>
      </c>
      <c r="D2" s="65">
        <v>850</v>
      </c>
      <c r="E2" s="65" t="s">
        <v>132</v>
      </c>
      <c r="F2" s="65" t="s">
        <v>26</v>
      </c>
      <c r="I2" s="65" t="s">
        <v>133</v>
      </c>
      <c r="J2" s="65" t="s">
        <v>134</v>
      </c>
      <c r="K2" s="65">
        <f>SUMIF(C2:C11,"Travel",D2:D11)</f>
        <v>1800</v>
      </c>
    </row>
    <row r="3" spans="1:12" x14ac:dyDescent="0.3">
      <c r="A3" s="92">
        <v>45665</v>
      </c>
      <c r="B3" s="65" t="s">
        <v>44</v>
      </c>
      <c r="C3" s="65" t="s">
        <v>135</v>
      </c>
      <c r="D3" s="65">
        <v>1200</v>
      </c>
      <c r="E3" s="65" t="s">
        <v>136</v>
      </c>
      <c r="F3" s="65" t="s">
        <v>29</v>
      </c>
      <c r="I3" s="65" t="s">
        <v>137</v>
      </c>
      <c r="J3" s="65" t="s">
        <v>138</v>
      </c>
      <c r="K3" s="65">
        <f>SUMIF(B2:B11,"Sales",D2:D11)</f>
        <v>5650</v>
      </c>
    </row>
    <row r="4" spans="1:12" x14ac:dyDescent="0.3">
      <c r="A4" s="92">
        <v>45672</v>
      </c>
      <c r="B4" s="65" t="s">
        <v>45</v>
      </c>
      <c r="C4" s="65" t="s">
        <v>139</v>
      </c>
      <c r="D4" s="65">
        <v>5000</v>
      </c>
      <c r="E4" s="65" t="s">
        <v>136</v>
      </c>
      <c r="F4" s="65" t="s">
        <v>22</v>
      </c>
      <c r="I4" s="65" t="s">
        <v>140</v>
      </c>
      <c r="J4" s="65" t="s">
        <v>141</v>
      </c>
      <c r="K4" s="65">
        <f>SUMIFS(D2:D11,C2:C11,"Utilities",F2:F11,"East")</f>
        <v>1450</v>
      </c>
    </row>
    <row r="5" spans="1:12" x14ac:dyDescent="0.3">
      <c r="A5" s="92">
        <v>45677</v>
      </c>
      <c r="B5" s="65" t="s">
        <v>46</v>
      </c>
      <c r="C5" s="65" t="s">
        <v>27</v>
      </c>
      <c r="D5" s="65">
        <v>300</v>
      </c>
      <c r="E5" s="65" t="s">
        <v>132</v>
      </c>
      <c r="F5" s="65" t="s">
        <v>24</v>
      </c>
      <c r="I5" s="65" t="s">
        <v>142</v>
      </c>
      <c r="J5" s="65" t="s">
        <v>143</v>
      </c>
      <c r="K5" s="65">
        <f>SUMIF(E2:E11,"Credit Card",D2:D11)</f>
        <v>2500</v>
      </c>
    </row>
    <row r="6" spans="1:12" x14ac:dyDescent="0.3">
      <c r="A6" s="92">
        <v>45685</v>
      </c>
      <c r="B6" s="65" t="s">
        <v>144</v>
      </c>
      <c r="C6" s="65" t="s">
        <v>145</v>
      </c>
      <c r="D6" s="65">
        <v>700</v>
      </c>
      <c r="E6" s="65" t="s">
        <v>146</v>
      </c>
      <c r="F6" s="65" t="s">
        <v>26</v>
      </c>
      <c r="I6" s="65" t="s">
        <v>147</v>
      </c>
      <c r="J6" s="65" t="s">
        <v>148</v>
      </c>
      <c r="K6" s="65">
        <f>SUMIF(B2:B11,"HR",D2:D11)</f>
        <v>5400</v>
      </c>
    </row>
    <row r="7" spans="1:12" x14ac:dyDescent="0.3">
      <c r="A7" s="92">
        <v>45692</v>
      </c>
      <c r="B7" s="65" t="s">
        <v>2</v>
      </c>
      <c r="C7" s="65" t="s">
        <v>139</v>
      </c>
      <c r="D7" s="65">
        <v>4800</v>
      </c>
      <c r="E7" s="65" t="s">
        <v>136</v>
      </c>
      <c r="F7" s="65" t="s">
        <v>26</v>
      </c>
      <c r="I7" s="65" t="s">
        <v>149</v>
      </c>
      <c r="J7" s="65" t="s">
        <v>150</v>
      </c>
      <c r="K7" s="65">
        <f>SUMIFS(D:D,C:C,"Software",A:A,"&gt;=01-Jan-2025",A:A,"&lt;=31-Jan-2025")</f>
        <v>1200</v>
      </c>
    </row>
    <row r="8" spans="1:12" x14ac:dyDescent="0.3">
      <c r="A8" s="92">
        <v>45698</v>
      </c>
      <c r="B8" s="65" t="s">
        <v>44</v>
      </c>
      <c r="C8" s="65" t="s">
        <v>131</v>
      </c>
      <c r="D8" s="65">
        <v>950</v>
      </c>
      <c r="E8" s="65" t="s">
        <v>132</v>
      </c>
      <c r="F8" s="65" t="s">
        <v>29</v>
      </c>
      <c r="I8" s="65" t="s">
        <v>151</v>
      </c>
      <c r="J8" s="65" t="s">
        <v>152</v>
      </c>
      <c r="K8" s="65">
        <f>SUMIFS(D2:D11,C2:C11,"Travel",F2:F11,"West",E2:E11,"Credit Card")</f>
        <v>950</v>
      </c>
    </row>
    <row r="9" spans="1:12" x14ac:dyDescent="0.3">
      <c r="A9" s="92">
        <v>45706</v>
      </c>
      <c r="B9" s="65" t="s">
        <v>45</v>
      </c>
      <c r="C9" s="65" t="s">
        <v>27</v>
      </c>
      <c r="D9" s="65">
        <v>400</v>
      </c>
      <c r="E9" s="65" t="s">
        <v>132</v>
      </c>
      <c r="F9" s="65" t="s">
        <v>22</v>
      </c>
      <c r="I9" s="65" t="s">
        <v>153</v>
      </c>
      <c r="J9" s="65" t="s">
        <v>154</v>
      </c>
      <c r="K9" s="65">
        <f>SUMIFS(D2:D11,B2:B11,"IT",A2:A11,"&gt;=01-Feb-2025",A2:A11,"&lt;=28-Feb-2025")</f>
        <v>2500</v>
      </c>
    </row>
    <row r="10" spans="1:12" x14ac:dyDescent="0.3">
      <c r="A10" s="92">
        <v>45711</v>
      </c>
      <c r="B10" s="65" t="s">
        <v>46</v>
      </c>
      <c r="C10" s="65" t="s">
        <v>135</v>
      </c>
      <c r="D10" s="65">
        <v>2500</v>
      </c>
      <c r="E10" s="65" t="s">
        <v>136</v>
      </c>
      <c r="F10" s="65" t="s">
        <v>24</v>
      </c>
      <c r="I10" s="65" t="s">
        <v>155</v>
      </c>
      <c r="J10" s="65" t="s">
        <v>156</v>
      </c>
      <c r="K10" s="65">
        <f>SUMIFS(D2:D11,C2:C11,"Office Supplies",F2:F11,"North")</f>
        <v>400</v>
      </c>
    </row>
    <row r="11" spans="1:12" x14ac:dyDescent="0.3">
      <c r="A11" s="92">
        <v>45715</v>
      </c>
      <c r="B11" s="65" t="s">
        <v>144</v>
      </c>
      <c r="C11" s="65" t="s">
        <v>145</v>
      </c>
      <c r="D11" s="65">
        <v>750</v>
      </c>
      <c r="E11" s="65" t="s">
        <v>136</v>
      </c>
      <c r="F11" s="65" t="s">
        <v>26</v>
      </c>
      <c r="I11" s="65" t="s">
        <v>157</v>
      </c>
      <c r="J11" s="65" t="s">
        <v>158</v>
      </c>
      <c r="K11" s="65">
        <f>SUMIFS(D2:D11,C2:C11,"Utilities",E2:E11,"Bank Transfer")</f>
        <v>750</v>
      </c>
    </row>
    <row r="12" spans="1:12" x14ac:dyDescent="0.3">
      <c r="A12" s="92"/>
      <c r="I12" s="65" t="s">
        <v>159</v>
      </c>
      <c r="J12" s="65" t="s">
        <v>160</v>
      </c>
      <c r="K12" s="65">
        <f>SUMIFS(D2:D11,F2:F11,"East",A2:A11,"&gt;=1-Jan-2025",A2:A11,"&lt;=31-Jan-2025")</f>
        <v>1550</v>
      </c>
    </row>
    <row r="13" spans="1:12" x14ac:dyDescent="0.3">
      <c r="A13" s="92"/>
      <c r="I13" s="65" t="s">
        <v>161</v>
      </c>
      <c r="J13" s="65" t="s">
        <v>162</v>
      </c>
      <c r="K13" s="65">
        <f>SUMIFS(D2:D11,C2:C11,"Salaries",F2:F11,"East",A2:A11,"&gt;=01-Feb-2025",A2:A11,"&lt;=28-Feb-2025")</f>
        <v>4800</v>
      </c>
      <c r="L13" s="134"/>
    </row>
    <row r="14" spans="1:12" x14ac:dyDescent="0.3">
      <c r="A14" s="92"/>
      <c r="I14" s="65" t="s">
        <v>163</v>
      </c>
      <c r="J14" s="65" t="s">
        <v>164</v>
      </c>
    </row>
    <row r="15" spans="1:12" x14ac:dyDescent="0.3">
      <c r="A15" s="92"/>
      <c r="I15" s="65" t="s">
        <v>165</v>
      </c>
      <c r="J15" s="65" t="s">
        <v>166</v>
      </c>
    </row>
    <row r="16" spans="1:12" x14ac:dyDescent="0.3">
      <c r="A16" s="92"/>
      <c r="I16" s="65" t="s">
        <v>167</v>
      </c>
      <c r="J16" s="65" t="s">
        <v>168</v>
      </c>
    </row>
    <row r="17" spans="1:10" x14ac:dyDescent="0.3">
      <c r="A17" s="92"/>
      <c r="I17" s="65" t="s">
        <v>169</v>
      </c>
      <c r="J17" s="65" t="s">
        <v>170</v>
      </c>
    </row>
    <row r="18" spans="1:10" x14ac:dyDescent="0.3">
      <c r="A18" s="92"/>
      <c r="I18" s="65" t="s">
        <v>171</v>
      </c>
      <c r="J18" s="65" t="s">
        <v>172</v>
      </c>
    </row>
    <row r="19" spans="1:10" x14ac:dyDescent="0.3">
      <c r="A19" s="92"/>
      <c r="I19" s="65" t="s">
        <v>173</v>
      </c>
      <c r="J19" s="65" t="s">
        <v>174</v>
      </c>
    </row>
    <row r="20" spans="1:10" x14ac:dyDescent="0.3">
      <c r="A20" s="92"/>
      <c r="I20" s="65" t="s">
        <v>175</v>
      </c>
      <c r="J20" s="65" t="s">
        <v>176</v>
      </c>
    </row>
    <row r="21" spans="1:10" x14ac:dyDescent="0.3">
      <c r="A21" s="92"/>
      <c r="I21" s="65" t="s">
        <v>177</v>
      </c>
      <c r="J21" s="65" t="s">
        <v>178</v>
      </c>
    </row>
    <row r="22" spans="1:10" x14ac:dyDescent="0.3">
      <c r="A22" s="93" t="s">
        <v>179</v>
      </c>
    </row>
    <row r="23" spans="1:10" x14ac:dyDescent="0.3">
      <c r="A23" s="92"/>
    </row>
    <row r="24" spans="1:10" x14ac:dyDescent="0.3">
      <c r="A24" s="92"/>
    </row>
    <row r="25" spans="1:10" x14ac:dyDescent="0.3">
      <c r="A25" s="92"/>
    </row>
  </sheetData>
  <hyperlinks>
    <hyperlink ref="A22" r:id="rId1" xr:uid="{2357E178-5FEB-448D-8918-3927F291C1A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8253-D8BB-4FA6-816D-27ABA8930A6D}">
  <dimension ref="A1:J24"/>
  <sheetViews>
    <sheetView workbookViewId="0">
      <selection activeCell="E17" sqref="A1:XFD1048576"/>
    </sheetView>
  </sheetViews>
  <sheetFormatPr defaultRowHeight="13.8" x14ac:dyDescent="0.3"/>
  <cols>
    <col min="1" max="1" width="9.109375" style="65" bestFit="1" customWidth="1"/>
    <col min="2" max="2" width="6.77734375" style="65" bestFit="1" customWidth="1"/>
    <col min="3" max="4" width="7.88671875" style="65" bestFit="1" customWidth="1"/>
    <col min="5" max="5" width="9.6640625" style="65" bestFit="1" customWidth="1"/>
    <col min="6" max="8" width="8.88671875" style="65"/>
    <col min="9" max="9" width="63.109375" style="65" bestFit="1" customWidth="1"/>
    <col min="10" max="10" width="7.88671875" style="65" bestFit="1" customWidth="1"/>
    <col min="11" max="16384" width="8.88671875" style="65"/>
  </cols>
  <sheetData>
    <row r="1" spans="1:10" s="89" customFormat="1" x14ac:dyDescent="0.3">
      <c r="A1" s="89" t="s">
        <v>223</v>
      </c>
      <c r="B1" s="89" t="s">
        <v>19</v>
      </c>
      <c r="C1" s="89" t="s">
        <v>62</v>
      </c>
      <c r="D1" s="89" t="s">
        <v>127</v>
      </c>
      <c r="E1" s="89" t="s">
        <v>222</v>
      </c>
      <c r="I1" s="89" t="s">
        <v>221</v>
      </c>
    </row>
    <row r="2" spans="1:10" x14ac:dyDescent="0.3">
      <c r="A2" s="65" t="s">
        <v>5</v>
      </c>
      <c r="B2" s="65" t="s">
        <v>22</v>
      </c>
      <c r="C2" s="65" t="s">
        <v>193</v>
      </c>
      <c r="D2" s="65">
        <v>500</v>
      </c>
      <c r="E2" s="65" t="s">
        <v>220</v>
      </c>
      <c r="I2" s="89" t="s">
        <v>219</v>
      </c>
      <c r="J2" s="89" t="s">
        <v>218</v>
      </c>
    </row>
    <row r="3" spans="1:10" x14ac:dyDescent="0.3">
      <c r="A3" s="65" t="s">
        <v>7</v>
      </c>
      <c r="B3" s="65" t="s">
        <v>24</v>
      </c>
      <c r="C3" s="65" t="s">
        <v>197</v>
      </c>
      <c r="D3" s="65">
        <v>700</v>
      </c>
      <c r="E3" s="65" t="s">
        <v>217</v>
      </c>
      <c r="I3" s="65" t="s">
        <v>216</v>
      </c>
      <c r="J3" s="65">
        <f>COUNTIF(C2:C11,"Overdue")</f>
        <v>5</v>
      </c>
    </row>
    <row r="4" spans="1:10" x14ac:dyDescent="0.3">
      <c r="A4" s="65" t="s">
        <v>215</v>
      </c>
      <c r="B4" s="65" t="s">
        <v>26</v>
      </c>
      <c r="C4" s="65" t="s">
        <v>193</v>
      </c>
      <c r="D4" s="65">
        <v>300</v>
      </c>
      <c r="E4" s="65" t="s">
        <v>214</v>
      </c>
      <c r="I4" s="65" t="s">
        <v>213</v>
      </c>
      <c r="J4" s="65">
        <f>COUNTIF(C2:C11,"Paid")</f>
        <v>5</v>
      </c>
    </row>
    <row r="5" spans="1:10" x14ac:dyDescent="0.3">
      <c r="A5" s="65" t="s">
        <v>212</v>
      </c>
      <c r="B5" s="65" t="s">
        <v>29</v>
      </c>
      <c r="C5" s="65" t="s">
        <v>197</v>
      </c>
      <c r="D5" s="65">
        <v>400</v>
      </c>
      <c r="E5" s="65" t="s">
        <v>211</v>
      </c>
      <c r="I5" s="65" t="s">
        <v>210</v>
      </c>
      <c r="J5" s="65">
        <f>COUNTIF(B2:B11,"North")</f>
        <v>3</v>
      </c>
    </row>
    <row r="6" spans="1:10" x14ac:dyDescent="0.3">
      <c r="A6" s="65" t="s">
        <v>209</v>
      </c>
      <c r="B6" s="65" t="s">
        <v>22</v>
      </c>
      <c r="C6" s="65" t="s">
        <v>193</v>
      </c>
      <c r="D6" s="65">
        <v>600</v>
      </c>
      <c r="E6" s="65" t="s">
        <v>208</v>
      </c>
      <c r="I6" s="65" t="s">
        <v>207</v>
      </c>
    </row>
    <row r="7" spans="1:10" x14ac:dyDescent="0.3">
      <c r="A7" s="65" t="s">
        <v>206</v>
      </c>
      <c r="B7" s="65" t="s">
        <v>24</v>
      </c>
      <c r="C7" s="65" t="s">
        <v>197</v>
      </c>
      <c r="D7" s="65">
        <v>450</v>
      </c>
      <c r="E7" s="65" t="s">
        <v>205</v>
      </c>
      <c r="I7" s="65" t="s">
        <v>204</v>
      </c>
    </row>
    <row r="8" spans="1:10" x14ac:dyDescent="0.3">
      <c r="A8" s="65" t="s">
        <v>14</v>
      </c>
      <c r="B8" s="65" t="s">
        <v>26</v>
      </c>
      <c r="C8" s="65" t="s">
        <v>197</v>
      </c>
      <c r="D8" s="65">
        <v>550</v>
      </c>
      <c r="E8" s="65" t="s">
        <v>203</v>
      </c>
      <c r="I8" s="65" t="s">
        <v>202</v>
      </c>
    </row>
    <row r="9" spans="1:10" x14ac:dyDescent="0.3">
      <c r="A9" s="65" t="s">
        <v>201</v>
      </c>
      <c r="B9" s="65" t="s">
        <v>22</v>
      </c>
      <c r="C9" s="65" t="s">
        <v>193</v>
      </c>
      <c r="D9" s="65">
        <v>200</v>
      </c>
      <c r="E9" s="65" t="s">
        <v>200</v>
      </c>
      <c r="I9" s="65" t="s">
        <v>199</v>
      </c>
    </row>
    <row r="10" spans="1:10" x14ac:dyDescent="0.3">
      <c r="A10" s="65" t="s">
        <v>198</v>
      </c>
      <c r="B10" s="65" t="s">
        <v>24</v>
      </c>
      <c r="C10" s="65" t="s">
        <v>197</v>
      </c>
      <c r="D10" s="65">
        <v>350</v>
      </c>
      <c r="E10" s="65" t="s">
        <v>196</v>
      </c>
      <c r="I10" s="65" t="s">
        <v>195</v>
      </c>
    </row>
    <row r="11" spans="1:10" x14ac:dyDescent="0.3">
      <c r="A11" s="65" t="s">
        <v>194</v>
      </c>
      <c r="B11" s="65" t="s">
        <v>29</v>
      </c>
      <c r="C11" s="65" t="s">
        <v>193</v>
      </c>
      <c r="D11" s="65">
        <v>800</v>
      </c>
      <c r="E11" s="65" t="s">
        <v>192</v>
      </c>
      <c r="I11" s="65" t="s">
        <v>191</v>
      </c>
    </row>
    <row r="12" spans="1:10" x14ac:dyDescent="0.3">
      <c r="I12" s="65" t="s">
        <v>190</v>
      </c>
    </row>
    <row r="13" spans="1:10" x14ac:dyDescent="0.3">
      <c r="I13" s="65" t="s">
        <v>189</v>
      </c>
    </row>
    <row r="14" spans="1:10" x14ac:dyDescent="0.3">
      <c r="I14" s="65" t="s">
        <v>188</v>
      </c>
    </row>
    <row r="15" spans="1:10" x14ac:dyDescent="0.3">
      <c r="I15" s="65" t="s">
        <v>187</v>
      </c>
    </row>
    <row r="16" spans="1:10" x14ac:dyDescent="0.3">
      <c r="I16" s="65" t="s">
        <v>186</v>
      </c>
    </row>
    <row r="17" spans="1:9" x14ac:dyDescent="0.3">
      <c r="I17" s="65" t="s">
        <v>185</v>
      </c>
    </row>
    <row r="18" spans="1:9" x14ac:dyDescent="0.3">
      <c r="I18" s="65" t="s">
        <v>184</v>
      </c>
    </row>
    <row r="19" spans="1:9" x14ac:dyDescent="0.3">
      <c r="I19" s="65" t="s">
        <v>183</v>
      </c>
    </row>
    <row r="20" spans="1:9" x14ac:dyDescent="0.3">
      <c r="I20" s="65" t="s">
        <v>182</v>
      </c>
    </row>
    <row r="21" spans="1:9" x14ac:dyDescent="0.3">
      <c r="I21" s="65" t="s">
        <v>181</v>
      </c>
    </row>
    <row r="22" spans="1:9" x14ac:dyDescent="0.3">
      <c r="I22" s="65" t="s">
        <v>180</v>
      </c>
    </row>
    <row r="24" spans="1:9" x14ac:dyDescent="0.3">
      <c r="A24" s="132" t="s">
        <v>224</v>
      </c>
      <c r="B24" s="133"/>
      <c r="C24" s="133"/>
      <c r="D24" s="133"/>
      <c r="E24" s="133"/>
      <c r="F24" s="133"/>
      <c r="G24" s="133"/>
      <c r="H24" s="133"/>
      <c r="I24" s="133"/>
    </row>
  </sheetData>
  <mergeCells count="1">
    <mergeCell ref="A24:I24"/>
  </mergeCells>
  <hyperlinks>
    <hyperlink ref="A24" r:id="rId1" xr:uid="{90728C1F-923A-461E-9979-2A463338B88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6492-7E8B-47E0-8222-5EB871C51B32}">
  <dimension ref="A1:J25"/>
  <sheetViews>
    <sheetView workbookViewId="0">
      <selection activeCell="F17" sqref="A1:XFD1048576"/>
    </sheetView>
  </sheetViews>
  <sheetFormatPr defaultColWidth="8.77734375" defaultRowHeight="13.8" x14ac:dyDescent="0.3"/>
  <cols>
    <col min="1" max="1" width="6.109375" style="65" bestFit="1" customWidth="1"/>
    <col min="2" max="2" width="11" style="65" bestFit="1" customWidth="1"/>
    <col min="3" max="3" width="10.6640625" style="65" bestFit="1" customWidth="1"/>
    <col min="4" max="4" width="8.44140625" style="65" bestFit="1" customWidth="1"/>
    <col min="5" max="5" width="6.109375" style="65" bestFit="1" customWidth="1"/>
    <col min="6" max="6" width="7.44140625" style="65" bestFit="1" customWidth="1"/>
    <col min="7" max="8" width="8.77734375" style="65"/>
    <col min="9" max="9" width="61.33203125" style="65" bestFit="1" customWidth="1"/>
    <col min="10" max="10" width="27.33203125" style="65" customWidth="1"/>
    <col min="11" max="16384" width="8.77734375" style="65"/>
  </cols>
  <sheetData>
    <row r="1" spans="1:10" x14ac:dyDescent="0.3">
      <c r="A1" s="88" t="s">
        <v>225</v>
      </c>
      <c r="B1" s="88" t="s">
        <v>226</v>
      </c>
      <c r="C1" s="88" t="s">
        <v>42</v>
      </c>
      <c r="D1" s="88" t="s">
        <v>227</v>
      </c>
      <c r="E1" s="88" t="s">
        <v>228</v>
      </c>
      <c r="F1" s="88" t="s">
        <v>229</v>
      </c>
      <c r="I1" s="88" t="s">
        <v>219</v>
      </c>
      <c r="J1" s="88" t="s">
        <v>230</v>
      </c>
    </row>
    <row r="2" spans="1:10" x14ac:dyDescent="0.3">
      <c r="A2" s="65">
        <v>101</v>
      </c>
      <c r="B2" s="65" t="s">
        <v>231</v>
      </c>
      <c r="C2" s="65" t="s">
        <v>232</v>
      </c>
      <c r="D2" s="65" t="s">
        <v>233</v>
      </c>
      <c r="E2" s="65">
        <v>65000</v>
      </c>
      <c r="F2" s="65">
        <v>0.1</v>
      </c>
      <c r="I2" s="65" t="s">
        <v>234</v>
      </c>
      <c r="J2" s="65" t="str">
        <f>VLOOKUP(104,A1:F11,2)</f>
        <v>David Chen</v>
      </c>
    </row>
    <row r="3" spans="1:10" x14ac:dyDescent="0.3">
      <c r="A3" s="65">
        <v>102</v>
      </c>
      <c r="B3" s="65" t="s">
        <v>235</v>
      </c>
      <c r="C3" s="65" t="s">
        <v>44</v>
      </c>
      <c r="D3" s="65" t="s">
        <v>236</v>
      </c>
      <c r="E3" s="65">
        <v>72000</v>
      </c>
      <c r="F3" s="65">
        <v>0.12</v>
      </c>
      <c r="I3" s="65" t="s">
        <v>237</v>
      </c>
    </row>
    <row r="4" spans="1:10" x14ac:dyDescent="0.3">
      <c r="A4" s="65">
        <v>103</v>
      </c>
      <c r="B4" s="65" t="s">
        <v>238</v>
      </c>
      <c r="C4" s="65" t="s">
        <v>46</v>
      </c>
      <c r="D4" s="65" t="s">
        <v>239</v>
      </c>
      <c r="E4" s="65">
        <v>80000</v>
      </c>
      <c r="F4" s="65">
        <v>0.08</v>
      </c>
      <c r="I4" s="65" t="s">
        <v>240</v>
      </c>
    </row>
    <row r="5" spans="1:10" x14ac:dyDescent="0.3">
      <c r="A5" s="65">
        <v>104</v>
      </c>
      <c r="B5" s="65" t="s">
        <v>241</v>
      </c>
      <c r="C5" s="65" t="s">
        <v>45</v>
      </c>
      <c r="D5" s="65" t="s">
        <v>233</v>
      </c>
      <c r="E5" s="65">
        <v>58000</v>
      </c>
      <c r="F5" s="65">
        <v>0.09</v>
      </c>
      <c r="I5" s="65" t="s">
        <v>242</v>
      </c>
    </row>
    <row r="6" spans="1:10" x14ac:dyDescent="0.3">
      <c r="A6" s="65">
        <v>105</v>
      </c>
      <c r="B6" s="65" t="s">
        <v>243</v>
      </c>
      <c r="C6" s="65" t="s">
        <v>232</v>
      </c>
      <c r="D6" s="65" t="s">
        <v>236</v>
      </c>
      <c r="E6" s="65">
        <v>62000</v>
      </c>
      <c r="F6" s="65">
        <v>0.11</v>
      </c>
      <c r="I6" s="65" t="s">
        <v>244</v>
      </c>
    </row>
    <row r="7" spans="1:10" x14ac:dyDescent="0.3">
      <c r="A7" s="65">
        <v>106</v>
      </c>
      <c r="B7" s="65" t="s">
        <v>245</v>
      </c>
      <c r="C7" s="65" t="s">
        <v>44</v>
      </c>
      <c r="D7" s="65" t="s">
        <v>246</v>
      </c>
      <c r="E7" s="65">
        <v>76000</v>
      </c>
      <c r="F7" s="65">
        <v>0.1</v>
      </c>
      <c r="I7" s="65" t="s">
        <v>247</v>
      </c>
    </row>
    <row r="8" spans="1:10" x14ac:dyDescent="0.3">
      <c r="A8" s="65">
        <v>107</v>
      </c>
      <c r="B8" s="65" t="s">
        <v>248</v>
      </c>
      <c r="C8" s="65" t="s">
        <v>46</v>
      </c>
      <c r="D8" s="65" t="s">
        <v>239</v>
      </c>
      <c r="E8" s="65">
        <v>82000</v>
      </c>
      <c r="F8" s="65">
        <v>7.0000000000000007E-2</v>
      </c>
      <c r="I8" s="65" t="s">
        <v>249</v>
      </c>
    </row>
    <row r="9" spans="1:10" x14ac:dyDescent="0.3">
      <c r="A9" s="65">
        <v>108</v>
      </c>
      <c r="B9" s="65" t="s">
        <v>250</v>
      </c>
      <c r="C9" s="65" t="s">
        <v>45</v>
      </c>
      <c r="D9" s="65" t="s">
        <v>236</v>
      </c>
      <c r="E9" s="65">
        <v>55000</v>
      </c>
      <c r="F9" s="65">
        <v>0.09</v>
      </c>
      <c r="I9" s="65" t="s">
        <v>251</v>
      </c>
    </row>
    <row r="10" spans="1:10" x14ac:dyDescent="0.3">
      <c r="A10" s="65">
        <v>109</v>
      </c>
      <c r="B10" s="65" t="s">
        <v>252</v>
      </c>
      <c r="C10" s="65" t="s">
        <v>232</v>
      </c>
      <c r="D10" s="65" t="s">
        <v>246</v>
      </c>
      <c r="E10" s="65">
        <v>68000</v>
      </c>
      <c r="F10" s="65">
        <v>0.1</v>
      </c>
      <c r="I10" s="65" t="s">
        <v>253</v>
      </c>
    </row>
    <row r="11" spans="1:10" x14ac:dyDescent="0.3">
      <c r="A11" s="65">
        <v>110</v>
      </c>
      <c r="B11" s="65" t="s">
        <v>254</v>
      </c>
      <c r="C11" s="65" t="s">
        <v>46</v>
      </c>
      <c r="D11" s="65" t="s">
        <v>233</v>
      </c>
      <c r="E11" s="65">
        <v>85000</v>
      </c>
      <c r="F11" s="65">
        <v>0.12</v>
      </c>
      <c r="I11" s="65" t="s">
        <v>255</v>
      </c>
    </row>
    <row r="12" spans="1:10" x14ac:dyDescent="0.3">
      <c r="I12" s="65" t="s">
        <v>256</v>
      </c>
    </row>
    <row r="13" spans="1:10" x14ac:dyDescent="0.3">
      <c r="I13" s="65" t="s">
        <v>257</v>
      </c>
    </row>
    <row r="14" spans="1:10" x14ac:dyDescent="0.3">
      <c r="I14" s="65" t="s">
        <v>258</v>
      </c>
    </row>
    <row r="15" spans="1:10" x14ac:dyDescent="0.3">
      <c r="I15" s="65" t="s">
        <v>259</v>
      </c>
    </row>
    <row r="16" spans="1:10" x14ac:dyDescent="0.3">
      <c r="I16" s="65" t="s">
        <v>260</v>
      </c>
    </row>
    <row r="17" spans="1:9" x14ac:dyDescent="0.3">
      <c r="I17" s="65" t="s">
        <v>261</v>
      </c>
    </row>
    <row r="18" spans="1:9" x14ac:dyDescent="0.3">
      <c r="I18" s="65" t="s">
        <v>262</v>
      </c>
    </row>
    <row r="19" spans="1:9" x14ac:dyDescent="0.3">
      <c r="I19" s="65" t="s">
        <v>263</v>
      </c>
    </row>
    <row r="20" spans="1:9" x14ac:dyDescent="0.3">
      <c r="I20" s="65" t="s">
        <v>264</v>
      </c>
    </row>
    <row r="21" spans="1:9" x14ac:dyDescent="0.3">
      <c r="I21" s="65" t="s">
        <v>265</v>
      </c>
    </row>
    <row r="25" spans="1:9" x14ac:dyDescent="0.3">
      <c r="A25" s="132" t="s">
        <v>266</v>
      </c>
      <c r="B25" s="133"/>
      <c r="C25" s="133"/>
      <c r="D25" s="133"/>
      <c r="E25" s="133"/>
      <c r="F25" s="133"/>
      <c r="G25" s="133"/>
      <c r="H25" s="133"/>
      <c r="I25" s="133"/>
    </row>
  </sheetData>
  <mergeCells count="1">
    <mergeCell ref="A25:I25"/>
  </mergeCells>
  <hyperlinks>
    <hyperlink ref="A25" r:id="rId1" xr:uid="{DA744765-1E4A-472E-93B9-8433C006526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5792-D527-4DAE-8F40-0C8A70D97254}">
  <dimension ref="A1:N24"/>
  <sheetViews>
    <sheetView workbookViewId="0">
      <selection activeCell="D15" sqref="A1:XFD1048576"/>
    </sheetView>
  </sheetViews>
  <sheetFormatPr defaultRowHeight="13.8" x14ac:dyDescent="0.3"/>
  <cols>
    <col min="1" max="1" width="19.88671875" style="65" bestFit="1" customWidth="1"/>
    <col min="2" max="2" width="9.6640625" style="65" bestFit="1" customWidth="1"/>
    <col min="3" max="3" width="9" style="65" bestFit="1" customWidth="1"/>
    <col min="4" max="5" width="9.6640625" style="65" bestFit="1" customWidth="1"/>
    <col min="6" max="6" width="9.77734375" style="65" bestFit="1" customWidth="1"/>
    <col min="7" max="7" width="9" style="65" bestFit="1" customWidth="1"/>
    <col min="8" max="8" width="8.88671875" style="65" bestFit="1" customWidth="1"/>
    <col min="9" max="9" width="11.44140625" style="65" bestFit="1" customWidth="1"/>
    <col min="10" max="10" width="9.33203125" style="65" bestFit="1" customWidth="1"/>
    <col min="11" max="11" width="9.21875" style="65" bestFit="1" customWidth="1"/>
    <col min="12" max="12" width="2" style="65" bestFit="1" customWidth="1"/>
    <col min="13" max="13" width="56.21875" style="65" bestFit="1" customWidth="1"/>
    <col min="14" max="14" width="37.109375" style="65" bestFit="1" customWidth="1"/>
    <col min="15" max="16384" width="8.88671875" style="65"/>
  </cols>
  <sheetData>
    <row r="1" spans="1:14" x14ac:dyDescent="0.3">
      <c r="A1" s="88" t="s">
        <v>267</v>
      </c>
      <c r="B1" s="88" t="s">
        <v>268</v>
      </c>
      <c r="C1" s="88" t="s">
        <v>269</v>
      </c>
      <c r="D1" s="88" t="s">
        <v>270</v>
      </c>
      <c r="E1" s="88" t="s">
        <v>271</v>
      </c>
      <c r="F1" s="88" t="s">
        <v>272</v>
      </c>
      <c r="G1" s="88" t="s">
        <v>273</v>
      </c>
      <c r="H1" s="88" t="s">
        <v>274</v>
      </c>
      <c r="I1" s="88" t="s">
        <v>275</v>
      </c>
      <c r="J1" s="88" t="s">
        <v>276</v>
      </c>
      <c r="K1" s="88" t="s">
        <v>277</v>
      </c>
      <c r="L1" s="88">
        <v>0</v>
      </c>
      <c r="M1" s="88" t="s">
        <v>219</v>
      </c>
      <c r="N1" s="88" t="s">
        <v>230</v>
      </c>
    </row>
    <row r="2" spans="1:14" x14ac:dyDescent="0.3">
      <c r="A2" s="65" t="s">
        <v>225</v>
      </c>
      <c r="B2" s="65">
        <v>101</v>
      </c>
      <c r="C2" s="65">
        <v>102</v>
      </c>
      <c r="D2" s="65">
        <v>103</v>
      </c>
      <c r="E2" s="65">
        <v>104</v>
      </c>
      <c r="F2" s="65">
        <v>105</v>
      </c>
      <c r="G2" s="65">
        <v>106</v>
      </c>
      <c r="H2" s="65">
        <v>107</v>
      </c>
      <c r="I2" s="65">
        <v>108</v>
      </c>
      <c r="J2" s="65">
        <v>109</v>
      </c>
      <c r="K2" s="65">
        <v>110</v>
      </c>
    </row>
    <row r="3" spans="1:14" x14ac:dyDescent="0.3">
      <c r="A3" s="65" t="s">
        <v>226</v>
      </c>
      <c r="B3" s="65" t="s">
        <v>231</v>
      </c>
      <c r="C3" s="65" t="s">
        <v>235</v>
      </c>
      <c r="D3" s="65" t="s">
        <v>238</v>
      </c>
      <c r="E3" s="65" t="s">
        <v>241</v>
      </c>
      <c r="F3" s="65" t="s">
        <v>243</v>
      </c>
      <c r="G3" s="65" t="s">
        <v>245</v>
      </c>
      <c r="H3" s="65" t="s">
        <v>248</v>
      </c>
      <c r="I3" s="65" t="s">
        <v>250</v>
      </c>
      <c r="J3" s="65" t="s">
        <v>252</v>
      </c>
      <c r="K3" s="65" t="s">
        <v>254</v>
      </c>
    </row>
    <row r="4" spans="1:14" x14ac:dyDescent="0.3">
      <c r="A4" s="65" t="s">
        <v>42</v>
      </c>
      <c r="B4" s="65" t="s">
        <v>232</v>
      </c>
      <c r="C4" s="65" t="s">
        <v>44</v>
      </c>
      <c r="D4" s="65" t="s">
        <v>46</v>
      </c>
      <c r="E4" s="65" t="s">
        <v>45</v>
      </c>
      <c r="F4" s="65" t="s">
        <v>232</v>
      </c>
      <c r="G4" s="65" t="s">
        <v>44</v>
      </c>
      <c r="H4" s="65" t="s">
        <v>46</v>
      </c>
      <c r="I4" s="65" t="s">
        <v>45</v>
      </c>
      <c r="J4" s="65" t="s">
        <v>232</v>
      </c>
      <c r="K4" s="65" t="s">
        <v>46</v>
      </c>
    </row>
    <row r="5" spans="1:14" x14ac:dyDescent="0.3">
      <c r="A5" s="65" t="s">
        <v>227</v>
      </c>
      <c r="B5" s="65" t="s">
        <v>233</v>
      </c>
      <c r="C5" s="65" t="s">
        <v>236</v>
      </c>
      <c r="D5" s="65" t="s">
        <v>239</v>
      </c>
      <c r="E5" s="65" t="s">
        <v>233</v>
      </c>
      <c r="F5" s="65" t="s">
        <v>236</v>
      </c>
      <c r="G5" s="65" t="s">
        <v>246</v>
      </c>
      <c r="H5" s="65" t="s">
        <v>239</v>
      </c>
      <c r="I5" s="65" t="s">
        <v>236</v>
      </c>
      <c r="J5" s="65" t="s">
        <v>246</v>
      </c>
      <c r="K5" s="65" t="s">
        <v>233</v>
      </c>
    </row>
    <row r="6" spans="1:14" x14ac:dyDescent="0.3">
      <c r="A6" s="65" t="s">
        <v>228</v>
      </c>
      <c r="B6" s="65">
        <v>65000</v>
      </c>
      <c r="C6" s="65">
        <v>72000</v>
      </c>
      <c r="D6" s="65">
        <v>80000</v>
      </c>
      <c r="E6" s="65">
        <v>58000</v>
      </c>
      <c r="F6" s="65">
        <v>62000</v>
      </c>
      <c r="G6" s="65">
        <v>76000</v>
      </c>
      <c r="H6" s="65">
        <v>82000</v>
      </c>
      <c r="I6" s="65">
        <v>55000</v>
      </c>
      <c r="J6" s="65">
        <v>68000</v>
      </c>
      <c r="K6" s="65">
        <v>85000</v>
      </c>
    </row>
    <row r="7" spans="1:14" x14ac:dyDescent="0.3">
      <c r="A7" s="65" t="s">
        <v>229</v>
      </c>
      <c r="B7" s="65">
        <v>0.1</v>
      </c>
      <c r="C7" s="65">
        <v>0.12</v>
      </c>
      <c r="D7" s="65">
        <v>0.08</v>
      </c>
      <c r="E7" s="65">
        <v>0.09</v>
      </c>
      <c r="F7" s="65">
        <v>0.11</v>
      </c>
      <c r="G7" s="65">
        <v>0.1</v>
      </c>
      <c r="H7" s="65">
        <v>7.0000000000000007E-2</v>
      </c>
      <c r="I7" s="65">
        <v>0.09</v>
      </c>
      <c r="J7" s="65">
        <v>0.1</v>
      </c>
      <c r="K7" s="65">
        <v>0.12</v>
      </c>
    </row>
    <row r="9" spans="1:14" x14ac:dyDescent="0.3">
      <c r="M9" s="65" t="s">
        <v>278</v>
      </c>
      <c r="N9" s="65" t="str">
        <f>HLOOKUP(104, B2:K6, 2, FALSE)</f>
        <v>David Chen</v>
      </c>
    </row>
    <row r="10" spans="1:14" x14ac:dyDescent="0.3">
      <c r="M10" s="65" t="s">
        <v>279</v>
      </c>
      <c r="N10" s="65">
        <v>0</v>
      </c>
    </row>
    <row r="11" spans="1:14" x14ac:dyDescent="0.3">
      <c r="M11" s="65" t="s">
        <v>280</v>
      </c>
      <c r="N11" s="65">
        <v>0</v>
      </c>
    </row>
    <row r="12" spans="1:14" x14ac:dyDescent="0.3">
      <c r="M12" s="65" t="s">
        <v>281</v>
      </c>
      <c r="N12" s="65">
        <v>0</v>
      </c>
    </row>
    <row r="13" spans="1:14" x14ac:dyDescent="0.3">
      <c r="M13" s="65" t="s">
        <v>282</v>
      </c>
      <c r="N13" s="65">
        <v>0</v>
      </c>
    </row>
    <row r="14" spans="1:14" x14ac:dyDescent="0.3">
      <c r="M14" s="65" t="s">
        <v>283</v>
      </c>
      <c r="N14" s="65">
        <v>0</v>
      </c>
    </row>
    <row r="15" spans="1:14" x14ac:dyDescent="0.3">
      <c r="M15" s="65" t="s">
        <v>284</v>
      </c>
      <c r="N15" s="65">
        <v>0</v>
      </c>
    </row>
    <row r="16" spans="1:14" x14ac:dyDescent="0.3">
      <c r="M16" s="65" t="s">
        <v>285</v>
      </c>
      <c r="N16" s="65" t="s">
        <v>286</v>
      </c>
    </row>
    <row r="17" spans="1:14" x14ac:dyDescent="0.3">
      <c r="M17" s="65" t="s">
        <v>287</v>
      </c>
      <c r="N17" s="65">
        <v>0</v>
      </c>
    </row>
    <row r="18" spans="1:14" x14ac:dyDescent="0.3">
      <c r="M18" s="65" t="s">
        <v>288</v>
      </c>
      <c r="N18" s="65">
        <v>0</v>
      </c>
    </row>
    <row r="24" spans="1:14" x14ac:dyDescent="0.3">
      <c r="A24" s="132" t="s">
        <v>289</v>
      </c>
      <c r="B24" s="133"/>
      <c r="C24" s="133"/>
      <c r="D24" s="133"/>
      <c r="E24" s="133"/>
      <c r="F24" s="133"/>
      <c r="G24" s="133"/>
      <c r="H24" s="133"/>
      <c r="I24" s="133"/>
    </row>
  </sheetData>
  <mergeCells count="1">
    <mergeCell ref="A24:I24"/>
  </mergeCells>
  <hyperlinks>
    <hyperlink ref="A24" r:id="rId1" xr:uid="{9C1324F4-AF41-44EA-9993-7DB6909778E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70E6-D93D-44C4-88D6-4B03C3177468}">
  <dimension ref="A1:I23"/>
  <sheetViews>
    <sheetView workbookViewId="0">
      <selection activeCell="H18" sqref="H18"/>
    </sheetView>
  </sheetViews>
  <sheetFormatPr defaultRowHeight="13.8" x14ac:dyDescent="0.3"/>
  <cols>
    <col min="1" max="1" width="39.21875" style="65" bestFit="1" customWidth="1"/>
    <col min="2" max="2" width="12.6640625" style="65" bestFit="1" customWidth="1"/>
    <col min="3" max="3" width="9.77734375" style="65" bestFit="1" customWidth="1"/>
    <col min="4" max="4" width="6.44140625" style="65" bestFit="1" customWidth="1"/>
    <col min="5" max="5" width="5" style="65" bestFit="1" customWidth="1"/>
    <col min="6" max="16384" width="8.88671875" style="65"/>
  </cols>
  <sheetData>
    <row r="1" spans="1:5" s="89" customFormat="1" x14ac:dyDescent="0.3">
      <c r="A1" s="89" t="s">
        <v>91</v>
      </c>
      <c r="B1" s="89" t="s">
        <v>92</v>
      </c>
      <c r="C1" s="89" t="s">
        <v>77</v>
      </c>
      <c r="D1" s="89" t="s">
        <v>19</v>
      </c>
      <c r="E1" s="89" t="s">
        <v>2</v>
      </c>
    </row>
    <row r="2" spans="1:5" x14ac:dyDescent="0.3">
      <c r="A2" s="65">
        <v>101</v>
      </c>
      <c r="B2" s="65" t="s">
        <v>63</v>
      </c>
      <c r="C2" s="65" t="s">
        <v>23</v>
      </c>
      <c r="D2" s="65" t="s">
        <v>22</v>
      </c>
      <c r="E2" s="65">
        <v>5000</v>
      </c>
    </row>
    <row r="3" spans="1:5" x14ac:dyDescent="0.3">
      <c r="A3" s="65">
        <v>102</v>
      </c>
      <c r="B3" s="65" t="s">
        <v>290</v>
      </c>
      <c r="C3" s="65" t="s">
        <v>23</v>
      </c>
      <c r="D3" s="65" t="s">
        <v>24</v>
      </c>
      <c r="E3" s="65">
        <v>3000</v>
      </c>
    </row>
    <row r="4" spans="1:5" x14ac:dyDescent="0.3">
      <c r="A4" s="65">
        <v>103</v>
      </c>
      <c r="B4" s="65" t="s">
        <v>291</v>
      </c>
      <c r="C4" s="65" t="s">
        <v>292</v>
      </c>
      <c r="D4" s="65" t="s">
        <v>26</v>
      </c>
      <c r="E4" s="65">
        <v>1500</v>
      </c>
    </row>
    <row r="5" spans="1:5" x14ac:dyDescent="0.3">
      <c r="A5" s="65">
        <v>104</v>
      </c>
      <c r="B5" s="65" t="s">
        <v>293</v>
      </c>
      <c r="C5" s="65" t="s">
        <v>292</v>
      </c>
      <c r="D5" s="65" t="s">
        <v>29</v>
      </c>
      <c r="E5" s="65">
        <v>2500</v>
      </c>
    </row>
    <row r="6" spans="1:5" x14ac:dyDescent="0.3">
      <c r="A6" s="65">
        <v>105</v>
      </c>
      <c r="B6" s="65" t="s">
        <v>81</v>
      </c>
      <c r="C6" s="65" t="s">
        <v>23</v>
      </c>
      <c r="D6" s="65" t="s">
        <v>22</v>
      </c>
      <c r="E6" s="65">
        <v>4000</v>
      </c>
    </row>
    <row r="8" spans="1:5" s="89" customFormat="1" x14ac:dyDescent="0.3">
      <c r="A8" s="89" t="s">
        <v>294</v>
      </c>
    </row>
    <row r="9" spans="1:5" s="89" customFormat="1" x14ac:dyDescent="0.3">
      <c r="A9" s="89" t="s">
        <v>219</v>
      </c>
      <c r="B9" s="89" t="s">
        <v>218</v>
      </c>
      <c r="C9" s="89" t="s">
        <v>43</v>
      </c>
    </row>
    <row r="10" spans="1:5" x14ac:dyDescent="0.3">
      <c r="A10" s="65" t="s">
        <v>295</v>
      </c>
      <c r="B10" s="65">
        <f>INDEX(E2:E6, MATCH("Phone", B2:B6, 0))</f>
        <v>3000</v>
      </c>
      <c r="C10" s="65">
        <v>3000</v>
      </c>
    </row>
    <row r="11" spans="1:5" x14ac:dyDescent="0.3">
      <c r="A11" s="65" t="s">
        <v>296</v>
      </c>
      <c r="B11" s="65" t="str">
        <f>INDEX(D2:D6, MATCH(104, A2:A6, 0))</f>
        <v>West</v>
      </c>
      <c r="C11" s="65" t="s">
        <v>29</v>
      </c>
    </row>
    <row r="12" spans="1:5" x14ac:dyDescent="0.3">
      <c r="A12" s="65" t="s">
        <v>297</v>
      </c>
      <c r="C12" s="65" t="s">
        <v>23</v>
      </c>
    </row>
    <row r="13" spans="1:5" x14ac:dyDescent="0.3">
      <c r="A13" s="65" t="s">
        <v>298</v>
      </c>
      <c r="C13" s="65">
        <v>5000</v>
      </c>
    </row>
    <row r="14" spans="1:5" x14ac:dyDescent="0.3">
      <c r="A14" s="65" t="s">
        <v>299</v>
      </c>
      <c r="C14" s="65" t="s">
        <v>291</v>
      </c>
    </row>
    <row r="15" spans="1:5" x14ac:dyDescent="0.3">
      <c r="A15" s="65" t="s">
        <v>300</v>
      </c>
      <c r="C15" s="65" t="s">
        <v>26</v>
      </c>
    </row>
    <row r="16" spans="1:5" x14ac:dyDescent="0.3">
      <c r="A16" s="65" t="s">
        <v>301</v>
      </c>
      <c r="C16" s="65">
        <v>4000</v>
      </c>
    </row>
    <row r="17" spans="1:9" x14ac:dyDescent="0.3">
      <c r="A17" s="65" t="s">
        <v>302</v>
      </c>
      <c r="C17" s="65" t="s">
        <v>23</v>
      </c>
    </row>
    <row r="18" spans="1:9" x14ac:dyDescent="0.3">
      <c r="A18" s="65" t="s">
        <v>303</v>
      </c>
      <c r="C18" s="65" t="s">
        <v>293</v>
      </c>
    </row>
    <row r="19" spans="1:9" x14ac:dyDescent="0.3">
      <c r="A19" s="65" t="s">
        <v>304</v>
      </c>
      <c r="C19" s="65" t="s">
        <v>22</v>
      </c>
    </row>
    <row r="23" spans="1:9" x14ac:dyDescent="0.3">
      <c r="A23" s="132" t="s">
        <v>305</v>
      </c>
      <c r="B23" s="133"/>
      <c r="C23" s="133"/>
      <c r="D23" s="133"/>
      <c r="E23" s="133"/>
      <c r="F23" s="133"/>
      <c r="G23" s="133"/>
      <c r="H23" s="133"/>
      <c r="I23" s="133"/>
    </row>
  </sheetData>
  <mergeCells count="1">
    <mergeCell ref="A23:I23"/>
  </mergeCells>
  <hyperlinks>
    <hyperlink ref="A23" r:id="rId1" xr:uid="{84AAEC77-B9FF-440B-B977-DC74327C06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SUMIF,AVGIF</vt:lpstr>
      <vt:lpstr>COUNTIF,IFs</vt:lpstr>
      <vt:lpstr>V,HLOOKUP</vt:lpstr>
      <vt:lpstr>X,INDEX,MATCH</vt:lpstr>
      <vt:lpstr>Practice SUMIF</vt:lpstr>
      <vt:lpstr>COUNTIF</vt:lpstr>
      <vt:lpstr>VLOOKUP</vt:lpstr>
      <vt:lpstr>HLOOKUP</vt:lpstr>
      <vt:lpstr>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Thakur</dc:creator>
  <cp:lastModifiedBy>Shiva Thakur</cp:lastModifiedBy>
  <dcterms:created xsi:type="dcterms:W3CDTF">2015-06-05T18:17:20Z</dcterms:created>
  <dcterms:modified xsi:type="dcterms:W3CDTF">2026-04-23T20:14:34Z</dcterms:modified>
</cp:coreProperties>
</file>